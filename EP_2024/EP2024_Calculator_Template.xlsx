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queryTables/queryTable6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queryTables/queryTable7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queryTables/queryTable8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hidePivotFieldList="1"/>
  <xr:revisionPtr revIDLastSave="0" documentId="8_{80B6810F-FAE0-4897-B307-9836E80581CD}" xr6:coauthVersionLast="47" xr6:coauthVersionMax="47" xr10:uidLastSave="{00000000-0000-0000-0000-000000000000}"/>
  <bookViews>
    <workbookView xWindow="-120" yWindow="-120" windowWidth="29040" windowHeight="15720" tabRatio="783" activeTab="7" xr2:uid="{00000000-000D-0000-FFFF-FFFF00000000}"/>
  </bookViews>
  <sheets>
    <sheet name="Cover" sheetId="8" r:id="rId1"/>
    <sheet name="Net Abatement" sheetId="7" r:id="rId2"/>
    <sheet name="CEA Attributes" sheetId="1" r:id="rId3"/>
    <sheet name="Abatement - Report 8" sheetId="25" r:id="rId4"/>
    <sheet name="Abatement - Report 7" sheetId="24" r:id="rId5"/>
    <sheet name="Abatement - Report 6" sheetId="23" r:id="rId6"/>
    <sheet name="Abatement - Report 5" sheetId="22" r:id="rId7"/>
    <sheet name="Abatement - Report 4" sheetId="21" r:id="rId8"/>
    <sheet name="Abatement - Report 3" sheetId="2" r:id="rId9"/>
    <sheet name="Abatement - Report 2" sheetId="20" r:id="rId10"/>
    <sheet name="Abatement - Report 1" sheetId="19" r:id="rId11"/>
    <sheet name="Project Emissions" sheetId="5" r:id="rId12"/>
    <sheet name="Global Warm Pot" sheetId="6" r:id="rId13"/>
    <sheet name="Fuel Emissions" sheetId="4" r:id="rId14"/>
    <sheet name="JIN_CEA_01" sheetId="11" r:id="rId15"/>
    <sheet name="HID_CEA_01" sheetId="12" r:id="rId16"/>
    <sheet name="LIS_CEA_01" sheetId="13" r:id="rId17"/>
    <sheet name="STE_CEA_01" sheetId="15" r:id="rId18"/>
    <sheet name="STE_CEA_02" sheetId="16" r:id="rId19"/>
    <sheet name="STE_CEA_03" sheetId="17" r:id="rId20"/>
  </sheets>
  <definedNames>
    <definedName name="_04._HID_CEA_01_GENERIC_NO_INIT_CAL___Output_1_1" localSheetId="15">HID_CEA_01!$A$1:$H$310</definedName>
    <definedName name="_04._JIN_CEA_01_GENERIC_NO_INIT_CAL___Output_1_1" localSheetId="14">JIN_CEA_01!$A$1:$F$310</definedName>
    <definedName name="_04._JIN_CEA_01_GENERIC_NO_INIT_CAL_2016_MAN___Output_1" localSheetId="14">JIN_CEA_01!$A$9:$H$310</definedName>
    <definedName name="_04._LIS_CEA_01_GENERIC_NO_INIT_CAL___Output_1" localSheetId="16">LIS_CEA_01!$A$1:$H$310</definedName>
    <definedName name="_04._LIS_CEA_01_GENERIC_NO_INIT_CAL___Output_1_1" localSheetId="16">LIS_CEA_01!$A$1:$H$310</definedName>
    <definedName name="_04._STE_CEA_01_GENERIC_NO_INIT_CAL___Output_1" localSheetId="17">STE_CEA_01!$A$1:$F$310</definedName>
    <definedName name="_04._STE_CEA_02_GENERIC_NO_INIT_CAL___Output_1" localSheetId="18">STE_CEA_02!$A$1:$H$310</definedName>
    <definedName name="_04._STE_CEA_03_GENERIC_NO_INIT_CAL___Output_1" localSheetId="19">STE_CEA_03!$A$1:$H$310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7" l="1"/>
  <c r="AD5" i="25"/>
  <c r="AC5" i="25"/>
  <c r="AF8" i="24"/>
  <c r="AI8" i="25"/>
  <c r="AI7" i="25"/>
  <c r="AI6" i="25"/>
  <c r="D50" i="4"/>
  <c r="E32" i="4"/>
  <c r="C7" i="7" s="1"/>
  <c r="E30" i="4"/>
  <c r="C26" i="4"/>
  <c r="G6" i="5"/>
  <c r="C9" i="7"/>
  <c r="AA16" i="25"/>
  <c r="AD9" i="25"/>
  <c r="AC9" i="25"/>
  <c r="AB9" i="25"/>
  <c r="AD8" i="25"/>
  <c r="AC8" i="25"/>
  <c r="AB8" i="25"/>
  <c r="AD10" i="25"/>
  <c r="AC10" i="25"/>
  <c r="AB10" i="25"/>
  <c r="AD7" i="25"/>
  <c r="AC7" i="25"/>
  <c r="AB7" i="25"/>
  <c r="AB5" i="25"/>
  <c r="AD6" i="25"/>
  <c r="AC6" i="25"/>
  <c r="AB6" i="25"/>
  <c r="Z5" i="25"/>
  <c r="R13" i="25"/>
  <c r="Z10" i="25"/>
  <c r="Y10" i="25"/>
  <c r="W10" i="25"/>
  <c r="V10" i="25"/>
  <c r="T10" i="25"/>
  <c r="S10" i="25"/>
  <c r="I10" i="25"/>
  <c r="H10" i="25"/>
  <c r="G10" i="25"/>
  <c r="C10" i="25"/>
  <c r="F10" i="25" s="1"/>
  <c r="Z9" i="25"/>
  <c r="Y9" i="25"/>
  <c r="W9" i="25"/>
  <c r="V9" i="25"/>
  <c r="T9" i="25"/>
  <c r="S9" i="25"/>
  <c r="I9" i="25"/>
  <c r="H9" i="25"/>
  <c r="G9" i="25"/>
  <c r="C9" i="25"/>
  <c r="F9" i="25" s="1"/>
  <c r="Z8" i="25"/>
  <c r="Y8" i="25"/>
  <c r="W8" i="25"/>
  <c r="V8" i="25"/>
  <c r="T8" i="25"/>
  <c r="S8" i="25"/>
  <c r="I8" i="25"/>
  <c r="H8" i="25"/>
  <c r="G8" i="25"/>
  <c r="C8" i="25"/>
  <c r="F8" i="25" s="1"/>
  <c r="Z7" i="25"/>
  <c r="Y7" i="25"/>
  <c r="W7" i="25"/>
  <c r="V7" i="25"/>
  <c r="T7" i="25"/>
  <c r="S7" i="25"/>
  <c r="I7" i="25"/>
  <c r="H7" i="25"/>
  <c r="G7" i="25"/>
  <c r="E7" i="25"/>
  <c r="D7" i="25"/>
  <c r="C7" i="25"/>
  <c r="Z6" i="25"/>
  <c r="Y6" i="25"/>
  <c r="W6" i="25"/>
  <c r="V6" i="25"/>
  <c r="T6" i="25"/>
  <c r="S6" i="25"/>
  <c r="I6" i="25"/>
  <c r="H6" i="25"/>
  <c r="G6" i="25"/>
  <c r="C6" i="25"/>
  <c r="F6" i="25" s="1"/>
  <c r="Y5" i="25"/>
  <c r="W5" i="25"/>
  <c r="V5" i="25"/>
  <c r="T5" i="25"/>
  <c r="S5" i="25"/>
  <c r="I5" i="25"/>
  <c r="H5" i="25"/>
  <c r="G5" i="25"/>
  <c r="C5" i="25"/>
  <c r="F5" i="25" s="1"/>
  <c r="Q32" i="24"/>
  <c r="AD7" i="24"/>
  <c r="AD6" i="24"/>
  <c r="D6" i="5"/>
  <c r="D5" i="5"/>
  <c r="AA6" i="24"/>
  <c r="AA7" i="24"/>
  <c r="Z10" i="24"/>
  <c r="Z9" i="24"/>
  <c r="Z8" i="24"/>
  <c r="AA8" i="24" s="1"/>
  <c r="Z7" i="24"/>
  <c r="Z6" i="24"/>
  <c r="Z5" i="24"/>
  <c r="Y10" i="24"/>
  <c r="Y9" i="24"/>
  <c r="Y8" i="24"/>
  <c r="Y7" i="24"/>
  <c r="Y6" i="24"/>
  <c r="Y5" i="24"/>
  <c r="I103" i="11"/>
  <c r="V5" i="24"/>
  <c r="R13" i="24"/>
  <c r="W10" i="24"/>
  <c r="V10" i="24"/>
  <c r="T10" i="24"/>
  <c r="S10" i="24"/>
  <c r="I10" i="24"/>
  <c r="H10" i="24"/>
  <c r="G10" i="24"/>
  <c r="C10" i="24"/>
  <c r="F10" i="24" s="1"/>
  <c r="W9" i="24"/>
  <c r="V9" i="24"/>
  <c r="T9" i="24"/>
  <c r="S9" i="24"/>
  <c r="I9" i="24"/>
  <c r="H9" i="24"/>
  <c r="G9" i="24"/>
  <c r="C9" i="24"/>
  <c r="F9" i="24" s="1"/>
  <c r="W8" i="24"/>
  <c r="X8" i="24" s="1"/>
  <c r="V8" i="24"/>
  <c r="T8" i="24"/>
  <c r="S8" i="24"/>
  <c r="I8" i="24"/>
  <c r="H8" i="24"/>
  <c r="G8" i="24"/>
  <c r="C8" i="24"/>
  <c r="F8" i="24" s="1"/>
  <c r="W7" i="24"/>
  <c r="X7" i="24" s="1"/>
  <c r="V7" i="24"/>
  <c r="T7" i="24"/>
  <c r="S7" i="24"/>
  <c r="I7" i="24"/>
  <c r="H7" i="24"/>
  <c r="G7" i="24"/>
  <c r="E7" i="24"/>
  <c r="D7" i="24"/>
  <c r="F7" i="24" s="1"/>
  <c r="C7" i="24"/>
  <c r="W6" i="24"/>
  <c r="V6" i="24"/>
  <c r="T6" i="24"/>
  <c r="S6" i="24"/>
  <c r="I6" i="24"/>
  <c r="H6" i="24"/>
  <c r="G6" i="24"/>
  <c r="C6" i="24"/>
  <c r="F6" i="24" s="1"/>
  <c r="W5" i="24"/>
  <c r="T5" i="24"/>
  <c r="S5" i="24"/>
  <c r="I5" i="24"/>
  <c r="I13" i="24" s="1"/>
  <c r="H5" i="24"/>
  <c r="G5" i="24"/>
  <c r="C5" i="24"/>
  <c r="F5" i="24" s="1"/>
  <c r="G15" i="5"/>
  <c r="F6" i="5"/>
  <c r="D19" i="4"/>
  <c r="W10" i="23"/>
  <c r="W9" i="23"/>
  <c r="W8" i="23"/>
  <c r="X8" i="23" s="1"/>
  <c r="V10" i="23"/>
  <c r="V9" i="23"/>
  <c r="V8" i="23"/>
  <c r="W7" i="23"/>
  <c r="X7" i="23" s="1"/>
  <c r="V7" i="23"/>
  <c r="W6" i="23"/>
  <c r="X6" i="23" s="1"/>
  <c r="V6" i="23"/>
  <c r="AK8" i="25" l="1"/>
  <c r="AI5" i="25"/>
  <c r="AJ5" i="25" s="1"/>
  <c r="AD13" i="25"/>
  <c r="AL8" i="25"/>
  <c r="AA9" i="24"/>
  <c r="AA10" i="24"/>
  <c r="X10" i="24"/>
  <c r="AA5" i="24"/>
  <c r="X8" i="25"/>
  <c r="U5" i="25"/>
  <c r="U7" i="25"/>
  <c r="X7" i="25"/>
  <c r="U8" i="25"/>
  <c r="X5" i="25"/>
  <c r="U6" i="25"/>
  <c r="AA10" i="25"/>
  <c r="AA7" i="25"/>
  <c r="U9" i="25"/>
  <c r="AA5" i="25"/>
  <c r="X6" i="25"/>
  <c r="I13" i="25"/>
  <c r="AA8" i="25"/>
  <c r="X9" i="25"/>
  <c r="AA6" i="25"/>
  <c r="U10" i="25"/>
  <c r="F7" i="25"/>
  <c r="F13" i="25" s="1"/>
  <c r="X10" i="25"/>
  <c r="AA9" i="25"/>
  <c r="X5" i="24"/>
  <c r="AD5" i="24" s="1"/>
  <c r="AE5" i="24" s="1"/>
  <c r="U7" i="24"/>
  <c r="U9" i="24"/>
  <c r="X9" i="24"/>
  <c r="U5" i="24"/>
  <c r="U6" i="24"/>
  <c r="X6" i="24"/>
  <c r="U8" i="24"/>
  <c r="U10" i="24"/>
  <c r="F13" i="24"/>
  <c r="X9" i="23"/>
  <c r="X10" i="23"/>
  <c r="W5" i="23"/>
  <c r="V5" i="23"/>
  <c r="R13" i="23"/>
  <c r="T10" i="23"/>
  <c r="S10" i="23"/>
  <c r="I10" i="23"/>
  <c r="H10" i="23"/>
  <c r="G10" i="23"/>
  <c r="C10" i="23"/>
  <c r="F10" i="23" s="1"/>
  <c r="T9" i="23"/>
  <c r="S9" i="23"/>
  <c r="I9" i="23"/>
  <c r="H9" i="23"/>
  <c r="G9" i="23"/>
  <c r="C9" i="23"/>
  <c r="F9" i="23" s="1"/>
  <c r="T8" i="23"/>
  <c r="S8" i="23"/>
  <c r="I8" i="23"/>
  <c r="H8" i="23"/>
  <c r="G8" i="23"/>
  <c r="C8" i="23"/>
  <c r="F8" i="23" s="1"/>
  <c r="T7" i="23"/>
  <c r="S7" i="23"/>
  <c r="I7" i="23"/>
  <c r="H7" i="23"/>
  <c r="G7" i="23"/>
  <c r="E7" i="23"/>
  <c r="D7" i="23"/>
  <c r="F7" i="23" s="1"/>
  <c r="C7" i="23"/>
  <c r="T6" i="23"/>
  <c r="S6" i="23"/>
  <c r="I6" i="23"/>
  <c r="H6" i="23"/>
  <c r="G6" i="23"/>
  <c r="C6" i="23"/>
  <c r="F6" i="23" s="1"/>
  <c r="T5" i="23"/>
  <c r="S5" i="23"/>
  <c r="I5" i="23"/>
  <c r="I13" i="23" s="1"/>
  <c r="H5" i="23"/>
  <c r="G5" i="23"/>
  <c r="C5" i="23"/>
  <c r="F5" i="23" s="1"/>
  <c r="T7" i="22"/>
  <c r="S6" i="22"/>
  <c r="T10" i="22"/>
  <c r="T9" i="22"/>
  <c r="T8" i="22"/>
  <c r="T6" i="22"/>
  <c r="T5" i="22"/>
  <c r="S10" i="22"/>
  <c r="S9" i="22"/>
  <c r="S8" i="22"/>
  <c r="S7" i="22"/>
  <c r="S5" i="22"/>
  <c r="I10" i="22"/>
  <c r="H10" i="22"/>
  <c r="G10" i="22"/>
  <c r="C10" i="22"/>
  <c r="F10" i="22" s="1"/>
  <c r="I9" i="22"/>
  <c r="H9" i="22"/>
  <c r="G9" i="22"/>
  <c r="C9" i="22"/>
  <c r="F9" i="22" s="1"/>
  <c r="I8" i="22"/>
  <c r="H8" i="22"/>
  <c r="G8" i="22"/>
  <c r="C8" i="22"/>
  <c r="F8" i="22" s="1"/>
  <c r="I7" i="22"/>
  <c r="H7" i="22"/>
  <c r="G7" i="22"/>
  <c r="E7" i="22"/>
  <c r="D7" i="22"/>
  <c r="C7" i="22"/>
  <c r="I6" i="22"/>
  <c r="H6" i="22"/>
  <c r="G6" i="22"/>
  <c r="C6" i="22"/>
  <c r="F6" i="22" s="1"/>
  <c r="I5" i="22"/>
  <c r="H5" i="22"/>
  <c r="G5" i="22"/>
  <c r="C5" i="22"/>
  <c r="F5" i="22" s="1"/>
  <c r="AD21" i="25" l="1"/>
  <c r="AD16" i="25"/>
  <c r="C5" i="7"/>
  <c r="AL5" i="25"/>
  <c r="AL7" i="25"/>
  <c r="AL6" i="25"/>
  <c r="U9" i="22"/>
  <c r="AD8" i="24"/>
  <c r="U5" i="22"/>
  <c r="W5" i="22" s="1"/>
  <c r="X5" i="22" s="1"/>
  <c r="X5" i="23"/>
  <c r="AG6" i="24"/>
  <c r="AJ7" i="25"/>
  <c r="U13" i="25"/>
  <c r="X13" i="25"/>
  <c r="AJ6" i="25"/>
  <c r="AA13" i="25"/>
  <c r="AA13" i="24"/>
  <c r="X13" i="24"/>
  <c r="U13" i="24"/>
  <c r="AE7" i="24"/>
  <c r="AE6" i="24"/>
  <c r="U6" i="23"/>
  <c r="AA6" i="23" s="1"/>
  <c r="AB6" i="23" s="1"/>
  <c r="U10" i="22"/>
  <c r="U8" i="22"/>
  <c r="U8" i="23"/>
  <c r="U9" i="23"/>
  <c r="U7" i="23"/>
  <c r="AA7" i="23" s="1"/>
  <c r="AB7" i="23" s="1"/>
  <c r="U5" i="23"/>
  <c r="AA5" i="23" s="1"/>
  <c r="U10" i="23"/>
  <c r="F13" i="23"/>
  <c r="U7" i="22"/>
  <c r="W7" i="22" s="1"/>
  <c r="X7" i="22" s="1"/>
  <c r="U6" i="22"/>
  <c r="W6" i="22" s="1"/>
  <c r="X6" i="22" s="1"/>
  <c r="I13" i="22"/>
  <c r="F7" i="22"/>
  <c r="F13" i="22" s="1"/>
  <c r="R13" i="22"/>
  <c r="C5" i="5"/>
  <c r="C14" i="7" l="1"/>
  <c r="W8" i="22"/>
  <c r="X8" i="22" s="1"/>
  <c r="AC8" i="23"/>
  <c r="AD6" i="23" s="1"/>
  <c r="AE6" i="23" s="1"/>
  <c r="AA16" i="24"/>
  <c r="AA21" i="24"/>
  <c r="AA21" i="25"/>
  <c r="AG8" i="24"/>
  <c r="AH8" i="24" s="1"/>
  <c r="AG7" i="24"/>
  <c r="AH7" i="24" s="1"/>
  <c r="AG5" i="24"/>
  <c r="AH5" i="24" s="1"/>
  <c r="AE8" i="24"/>
  <c r="AH6" i="24"/>
  <c r="AA8" i="23"/>
  <c r="AB8" i="23" s="1"/>
  <c r="Y8" i="22"/>
  <c r="AB5" i="23"/>
  <c r="U13" i="23"/>
  <c r="U13" i="22"/>
  <c r="Q10" i="21"/>
  <c r="Q9" i="21"/>
  <c r="Q8" i="21"/>
  <c r="P10" i="21"/>
  <c r="P9" i="21"/>
  <c r="P8" i="21"/>
  <c r="P7" i="21"/>
  <c r="Q7" i="21"/>
  <c r="Q6" i="21"/>
  <c r="P6" i="21"/>
  <c r="Q5" i="21"/>
  <c r="P5" i="21"/>
  <c r="I10" i="21"/>
  <c r="H10" i="21"/>
  <c r="G10" i="21"/>
  <c r="C10" i="21"/>
  <c r="F10" i="21" s="1"/>
  <c r="I9" i="21"/>
  <c r="H9" i="21"/>
  <c r="G9" i="21"/>
  <c r="C9" i="21"/>
  <c r="F9" i="21" s="1"/>
  <c r="I8" i="21"/>
  <c r="H8" i="21"/>
  <c r="G8" i="21"/>
  <c r="C8" i="21"/>
  <c r="F8" i="21" s="1"/>
  <c r="I7" i="21"/>
  <c r="H7" i="21"/>
  <c r="G7" i="21"/>
  <c r="E7" i="21"/>
  <c r="D7" i="21"/>
  <c r="C7" i="21"/>
  <c r="I6" i="21"/>
  <c r="H6" i="21"/>
  <c r="G6" i="21"/>
  <c r="C6" i="21"/>
  <c r="F6" i="21" s="1"/>
  <c r="I5" i="21"/>
  <c r="I13" i="21" s="1"/>
  <c r="H5" i="21"/>
  <c r="G5" i="21"/>
  <c r="F5" i="21"/>
  <c r="C5" i="21"/>
  <c r="Z8" i="22" l="1"/>
  <c r="AA8" i="22" s="1"/>
  <c r="AD5" i="23"/>
  <c r="AE5" i="23" s="1"/>
  <c r="AD8" i="23"/>
  <c r="AE8" i="23" s="1"/>
  <c r="AD7" i="23"/>
  <c r="AE7" i="23" s="1"/>
  <c r="Z7" i="22"/>
  <c r="AA7" i="22" s="1"/>
  <c r="U21" i="22"/>
  <c r="Z6" i="22"/>
  <c r="AA6" i="22" s="1"/>
  <c r="Z5" i="22"/>
  <c r="AA5" i="22" s="1"/>
  <c r="U16" i="22"/>
  <c r="R7" i="21"/>
  <c r="T7" i="21" s="1"/>
  <c r="U7" i="21" s="1"/>
  <c r="F7" i="21"/>
  <c r="R5" i="21"/>
  <c r="R6" i="21"/>
  <c r="T6" i="21" s="1"/>
  <c r="U6" i="21" s="1"/>
  <c r="R10" i="21"/>
  <c r="R9" i="21"/>
  <c r="R8" i="21"/>
  <c r="F13" i="21"/>
  <c r="T8" i="21" l="1"/>
  <c r="U8" i="21" s="1"/>
  <c r="V8" i="21"/>
  <c r="T5" i="21"/>
  <c r="R13" i="21"/>
  <c r="W8" i="21" l="1"/>
  <c r="X8" i="21" s="1"/>
  <c r="W7" i="21"/>
  <c r="W5" i="21"/>
  <c r="U5" i="21"/>
  <c r="W6" i="21"/>
  <c r="R16" i="21"/>
  <c r="Y8" i="21" l="1"/>
  <c r="Y6" i="21"/>
  <c r="X6" i="21"/>
  <c r="Y5" i="21"/>
  <c r="X5" i="21"/>
  <c r="X7" i="21"/>
  <c r="Y7" i="21"/>
  <c r="I15" i="15"/>
  <c r="I16" i="15"/>
  <c r="I17" i="15"/>
  <c r="I18" i="15"/>
  <c r="I19" i="15"/>
  <c r="I20" i="15"/>
  <c r="I21" i="15"/>
  <c r="I22" i="15"/>
  <c r="I23" i="15"/>
  <c r="I24" i="15"/>
  <c r="M26" i="15" s="1"/>
  <c r="I25" i="15"/>
  <c r="I26" i="15"/>
  <c r="I27" i="15"/>
  <c r="I28" i="15"/>
  <c r="I29" i="15"/>
  <c r="I30" i="15"/>
  <c r="I31" i="15"/>
  <c r="I32" i="15"/>
  <c r="I33" i="15"/>
  <c r="I34" i="15"/>
  <c r="I35" i="15"/>
  <c r="I36" i="15"/>
  <c r="M27" i="15" s="1"/>
  <c r="I37" i="15"/>
  <c r="I38" i="15"/>
  <c r="I39" i="15"/>
  <c r="I40" i="15"/>
  <c r="I41" i="15"/>
  <c r="I42" i="15"/>
  <c r="I43" i="15"/>
  <c r="I44" i="15"/>
  <c r="I45" i="15"/>
  <c r="I46" i="15"/>
  <c r="I47" i="15"/>
  <c r="I48" i="15"/>
  <c r="M28" i="15" s="1"/>
  <c r="I49" i="15"/>
  <c r="I50" i="15"/>
  <c r="I51" i="15"/>
  <c r="I52" i="15"/>
  <c r="I53" i="15"/>
  <c r="I54" i="15"/>
  <c r="I55" i="15"/>
  <c r="I56" i="15"/>
  <c r="I57" i="15"/>
  <c r="I58" i="15"/>
  <c r="I59" i="15"/>
  <c r="I60" i="15"/>
  <c r="M29" i="15" s="1"/>
  <c r="I61" i="15"/>
  <c r="I62" i="15"/>
  <c r="I63" i="15"/>
  <c r="I64" i="15"/>
  <c r="I65" i="15"/>
  <c r="I66" i="15"/>
  <c r="I67" i="15"/>
  <c r="I68" i="15"/>
  <c r="I69" i="15"/>
  <c r="I70" i="15"/>
  <c r="I71" i="15"/>
  <c r="I72" i="15"/>
  <c r="M30" i="15" s="1"/>
  <c r="I73" i="15"/>
  <c r="I74" i="15"/>
  <c r="I75" i="15"/>
  <c r="I76" i="15"/>
  <c r="I77" i="15"/>
  <c r="I78" i="15"/>
  <c r="I79" i="15"/>
  <c r="I80" i="15"/>
  <c r="I81" i="15"/>
  <c r="I82" i="15"/>
  <c r="I83" i="15"/>
  <c r="I84" i="15"/>
  <c r="M31" i="15" s="1"/>
  <c r="I85" i="15"/>
  <c r="I86" i="15"/>
  <c r="I87" i="15"/>
  <c r="I88" i="15"/>
  <c r="I89" i="15"/>
  <c r="I90" i="15"/>
  <c r="I91" i="15"/>
  <c r="I92" i="15"/>
  <c r="I93" i="15"/>
  <c r="I94" i="15"/>
  <c r="I95" i="15"/>
  <c r="I96" i="15"/>
  <c r="M32" i="15" s="1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M33" i="15" s="1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M34" i="15" s="1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M35" i="15" s="1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11" i="15"/>
  <c r="I12" i="15"/>
  <c r="I13" i="15"/>
  <c r="I14" i="15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10" i="12"/>
  <c r="I10" i="15" l="1"/>
  <c r="M74" i="12" l="1"/>
  <c r="M68" i="12"/>
  <c r="M67" i="12"/>
  <c r="M65" i="12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M35" i="17" s="1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M34" i="17" s="1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M33" i="17" s="1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M32" i="17" s="1"/>
  <c r="I95" i="17"/>
  <c r="I94" i="17"/>
  <c r="I93" i="17"/>
  <c r="I92" i="17"/>
  <c r="I91" i="17"/>
  <c r="I90" i="17"/>
  <c r="I89" i="17"/>
  <c r="I88" i="17"/>
  <c r="I87" i="17"/>
  <c r="I86" i="17"/>
  <c r="I85" i="17"/>
  <c r="I84" i="17"/>
  <c r="M31" i="17" s="1"/>
  <c r="I83" i="17"/>
  <c r="I82" i="17"/>
  <c r="I81" i="17"/>
  <c r="I80" i="17"/>
  <c r="I79" i="17"/>
  <c r="I78" i="17"/>
  <c r="I77" i="17"/>
  <c r="I76" i="17"/>
  <c r="I75" i="17"/>
  <c r="I74" i="17"/>
  <c r="I73" i="17"/>
  <c r="I72" i="17"/>
  <c r="M30" i="17" s="1"/>
  <c r="I71" i="17"/>
  <c r="I70" i="17"/>
  <c r="I69" i="17"/>
  <c r="I68" i="17"/>
  <c r="I67" i="17"/>
  <c r="I66" i="17"/>
  <c r="I65" i="17"/>
  <c r="I64" i="17"/>
  <c r="I63" i="17"/>
  <c r="I62" i="17"/>
  <c r="I61" i="17"/>
  <c r="I60" i="17"/>
  <c r="M29" i="17" s="1"/>
  <c r="I59" i="17"/>
  <c r="I58" i="17"/>
  <c r="I57" i="17"/>
  <c r="I56" i="17"/>
  <c r="I55" i="17"/>
  <c r="I54" i="17"/>
  <c r="I53" i="17"/>
  <c r="I52" i="17"/>
  <c r="I51" i="17"/>
  <c r="I50" i="17"/>
  <c r="I49" i="17"/>
  <c r="I48" i="17"/>
  <c r="M28" i="17" s="1"/>
  <c r="I47" i="17"/>
  <c r="I46" i="17"/>
  <c r="I45" i="17"/>
  <c r="I44" i="17"/>
  <c r="I43" i="17"/>
  <c r="I42" i="17"/>
  <c r="I41" i="17"/>
  <c r="I40" i="17"/>
  <c r="I39" i="17"/>
  <c r="I38" i="17"/>
  <c r="I37" i="17"/>
  <c r="I36" i="17"/>
  <c r="M27" i="17" s="1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311" i="16"/>
  <c r="I310" i="16"/>
  <c r="I309" i="16"/>
  <c r="I308" i="16"/>
  <c r="I307" i="16"/>
  <c r="I306" i="16"/>
  <c r="I305" i="16"/>
  <c r="I304" i="16"/>
  <c r="I303" i="16"/>
  <c r="I302" i="16"/>
  <c r="I301" i="16"/>
  <c r="I300" i="16"/>
  <c r="I299" i="16"/>
  <c r="I298" i="16"/>
  <c r="I297" i="16"/>
  <c r="I296" i="16"/>
  <c r="I295" i="16"/>
  <c r="I294" i="16"/>
  <c r="I293" i="16"/>
  <c r="I292" i="16"/>
  <c r="I291" i="16"/>
  <c r="I290" i="16"/>
  <c r="I289" i="16"/>
  <c r="I288" i="16"/>
  <c r="I287" i="16"/>
  <c r="I286" i="16"/>
  <c r="I285" i="16"/>
  <c r="I284" i="16"/>
  <c r="I283" i="16"/>
  <c r="I282" i="16"/>
  <c r="I281" i="16"/>
  <c r="I280" i="16"/>
  <c r="I279" i="16"/>
  <c r="I278" i="16"/>
  <c r="I277" i="16"/>
  <c r="I276" i="16"/>
  <c r="I275" i="16"/>
  <c r="I274" i="16"/>
  <c r="I273" i="16"/>
  <c r="I272" i="16"/>
  <c r="I271" i="16"/>
  <c r="I270" i="16"/>
  <c r="I269" i="16"/>
  <c r="I268" i="16"/>
  <c r="I267" i="16"/>
  <c r="I266" i="16"/>
  <c r="I265" i="16"/>
  <c r="I264" i="16"/>
  <c r="I263" i="16"/>
  <c r="I262" i="16"/>
  <c r="I261" i="16"/>
  <c r="I260" i="16"/>
  <c r="I259" i="16"/>
  <c r="I258" i="16"/>
  <c r="I257" i="16"/>
  <c r="I256" i="16"/>
  <c r="I255" i="16"/>
  <c r="I254" i="16"/>
  <c r="I253" i="16"/>
  <c r="I252" i="16"/>
  <c r="I251" i="16"/>
  <c r="I250" i="16"/>
  <c r="I249" i="16"/>
  <c r="I248" i="16"/>
  <c r="I247" i="16"/>
  <c r="I246" i="16"/>
  <c r="I245" i="16"/>
  <c r="I244" i="16"/>
  <c r="I243" i="16"/>
  <c r="I242" i="16"/>
  <c r="I241" i="16"/>
  <c r="I240" i="16"/>
  <c r="I239" i="16"/>
  <c r="I238" i="16"/>
  <c r="I237" i="16"/>
  <c r="I236" i="16"/>
  <c r="I235" i="16"/>
  <c r="I234" i="16"/>
  <c r="I233" i="16"/>
  <c r="I232" i="16"/>
  <c r="I231" i="16"/>
  <c r="I230" i="16"/>
  <c r="I229" i="16"/>
  <c r="I228" i="16"/>
  <c r="I227" i="16"/>
  <c r="I226" i="16"/>
  <c r="I225" i="16"/>
  <c r="I224" i="16"/>
  <c r="I223" i="16"/>
  <c r="I222" i="16"/>
  <c r="I221" i="16"/>
  <c r="I220" i="16"/>
  <c r="I219" i="16"/>
  <c r="I218" i="16"/>
  <c r="I217" i="16"/>
  <c r="I216" i="16"/>
  <c r="I215" i="16"/>
  <c r="I214" i="16"/>
  <c r="I213" i="16"/>
  <c r="I212" i="16"/>
  <c r="I211" i="16"/>
  <c r="I210" i="16"/>
  <c r="I209" i="16"/>
  <c r="I208" i="16"/>
  <c r="I207" i="16"/>
  <c r="I206" i="16"/>
  <c r="I205" i="16"/>
  <c r="I204" i="16"/>
  <c r="I203" i="16"/>
  <c r="I202" i="16"/>
  <c r="I201" i="16"/>
  <c r="I200" i="16"/>
  <c r="I199" i="16"/>
  <c r="I198" i="16"/>
  <c r="I197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M35" i="16" s="1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M34" i="16" s="1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M33" i="16" s="1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M32" i="16" s="1"/>
  <c r="I95" i="16"/>
  <c r="I94" i="16"/>
  <c r="I93" i="16"/>
  <c r="I92" i="16"/>
  <c r="I91" i="16"/>
  <c r="I90" i="16"/>
  <c r="I89" i="16"/>
  <c r="I88" i="16"/>
  <c r="I87" i="16"/>
  <c r="I86" i="16"/>
  <c r="I85" i="16"/>
  <c r="I84" i="16"/>
  <c r="M31" i="16" s="1"/>
  <c r="I83" i="16"/>
  <c r="I82" i="16"/>
  <c r="I81" i="16"/>
  <c r="I80" i="16"/>
  <c r="I79" i="16"/>
  <c r="I78" i="16"/>
  <c r="I77" i="16"/>
  <c r="I76" i="16"/>
  <c r="I75" i="16"/>
  <c r="I74" i="16"/>
  <c r="I73" i="16"/>
  <c r="I72" i="16"/>
  <c r="M30" i="16" s="1"/>
  <c r="I71" i="16"/>
  <c r="I70" i="16"/>
  <c r="I69" i="16"/>
  <c r="I68" i="16"/>
  <c r="I67" i="16"/>
  <c r="I66" i="16"/>
  <c r="I65" i="16"/>
  <c r="I64" i="16"/>
  <c r="I63" i="16"/>
  <c r="I62" i="16"/>
  <c r="I61" i="16"/>
  <c r="I60" i="16"/>
  <c r="M29" i="16" s="1"/>
  <c r="I59" i="16"/>
  <c r="I58" i="16"/>
  <c r="I57" i="16"/>
  <c r="I56" i="16"/>
  <c r="I55" i="16"/>
  <c r="I54" i="16"/>
  <c r="I53" i="16"/>
  <c r="I52" i="16"/>
  <c r="I51" i="16"/>
  <c r="I50" i="16"/>
  <c r="I49" i="16"/>
  <c r="I48" i="16"/>
  <c r="M28" i="16" s="1"/>
  <c r="I47" i="16"/>
  <c r="I46" i="16"/>
  <c r="I45" i="16"/>
  <c r="I44" i="16"/>
  <c r="I43" i="16"/>
  <c r="I42" i="16"/>
  <c r="I41" i="16"/>
  <c r="I40" i="16"/>
  <c r="I39" i="16"/>
  <c r="I38" i="16"/>
  <c r="I37" i="16"/>
  <c r="I36" i="16"/>
  <c r="M27" i="16" s="1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311" i="13"/>
  <c r="I310" i="13"/>
  <c r="I309" i="13"/>
  <c r="I308" i="13"/>
  <c r="I307" i="13"/>
  <c r="I306" i="13"/>
  <c r="I305" i="13"/>
  <c r="I304" i="13"/>
  <c r="I303" i="13"/>
  <c r="I302" i="13"/>
  <c r="I301" i="13"/>
  <c r="I300" i="13"/>
  <c r="I299" i="13"/>
  <c r="I298" i="13"/>
  <c r="I297" i="13"/>
  <c r="I296" i="13"/>
  <c r="I295" i="13"/>
  <c r="I294" i="13"/>
  <c r="I293" i="13"/>
  <c r="I292" i="13"/>
  <c r="I291" i="13"/>
  <c r="I290" i="13"/>
  <c r="I289" i="13"/>
  <c r="I288" i="13"/>
  <c r="I287" i="13"/>
  <c r="I286" i="13"/>
  <c r="I285" i="13"/>
  <c r="I284" i="13"/>
  <c r="I283" i="13"/>
  <c r="I282" i="13"/>
  <c r="I281" i="13"/>
  <c r="I280" i="13"/>
  <c r="I279" i="13"/>
  <c r="I278" i="13"/>
  <c r="I277" i="13"/>
  <c r="I276" i="13"/>
  <c r="I275" i="13"/>
  <c r="I274" i="13"/>
  <c r="I273" i="13"/>
  <c r="I272" i="13"/>
  <c r="I271" i="13"/>
  <c r="I270" i="13"/>
  <c r="I269" i="13"/>
  <c r="I268" i="13"/>
  <c r="I267" i="13"/>
  <c r="I266" i="13"/>
  <c r="I265" i="13"/>
  <c r="I264" i="13"/>
  <c r="I263" i="13"/>
  <c r="I262" i="13"/>
  <c r="I261" i="13"/>
  <c r="I260" i="13"/>
  <c r="I259" i="13"/>
  <c r="I258" i="13"/>
  <c r="I257" i="13"/>
  <c r="I256" i="13"/>
  <c r="I255" i="13"/>
  <c r="I254" i="13"/>
  <c r="I253" i="13"/>
  <c r="I252" i="13"/>
  <c r="I251" i="13"/>
  <c r="I250" i="13"/>
  <c r="I249" i="13"/>
  <c r="I248" i="13"/>
  <c r="I247" i="13"/>
  <c r="I246" i="13"/>
  <c r="I245" i="13"/>
  <c r="I244" i="13"/>
  <c r="I243" i="13"/>
  <c r="I242" i="13"/>
  <c r="I241" i="13"/>
  <c r="I240" i="13"/>
  <c r="I239" i="13"/>
  <c r="I238" i="13"/>
  <c r="I237" i="13"/>
  <c r="I236" i="13"/>
  <c r="I235" i="13"/>
  <c r="I234" i="13"/>
  <c r="I233" i="13"/>
  <c r="I232" i="13"/>
  <c r="I231" i="13"/>
  <c r="I230" i="13"/>
  <c r="I229" i="13"/>
  <c r="I228" i="13"/>
  <c r="I227" i="13"/>
  <c r="I226" i="13"/>
  <c r="I225" i="13"/>
  <c r="I224" i="13"/>
  <c r="I223" i="13"/>
  <c r="I222" i="13"/>
  <c r="I221" i="13"/>
  <c r="I220" i="13"/>
  <c r="I219" i="13"/>
  <c r="I218" i="13"/>
  <c r="I217" i="13"/>
  <c r="I216" i="13"/>
  <c r="I215" i="13"/>
  <c r="I214" i="13"/>
  <c r="I213" i="13"/>
  <c r="I212" i="13"/>
  <c r="I211" i="13"/>
  <c r="I210" i="13"/>
  <c r="I209" i="13"/>
  <c r="I208" i="13"/>
  <c r="I207" i="13"/>
  <c r="I206" i="13"/>
  <c r="I205" i="13"/>
  <c r="I204" i="13"/>
  <c r="I203" i="13"/>
  <c r="I202" i="13"/>
  <c r="I201" i="13"/>
  <c r="I200" i="13"/>
  <c r="I199" i="13"/>
  <c r="I198" i="13"/>
  <c r="I197" i="13"/>
  <c r="I196" i="13"/>
  <c r="I195" i="13"/>
  <c r="I194" i="13"/>
  <c r="I193" i="13"/>
  <c r="I192" i="13"/>
  <c r="I191" i="13"/>
  <c r="I190" i="13"/>
  <c r="I189" i="13"/>
  <c r="I188" i="13"/>
  <c r="M91" i="13" s="1"/>
  <c r="I187" i="13"/>
  <c r="I186" i="13"/>
  <c r="I185" i="13"/>
  <c r="I184" i="13"/>
  <c r="I183" i="13"/>
  <c r="I182" i="13"/>
  <c r="I181" i="13"/>
  <c r="I180" i="13"/>
  <c r="I179" i="13"/>
  <c r="I178" i="13"/>
  <c r="I177" i="13"/>
  <c r="I176" i="13"/>
  <c r="M90" i="13" s="1"/>
  <c r="I175" i="13"/>
  <c r="I174" i="13"/>
  <c r="I173" i="13"/>
  <c r="I172" i="13"/>
  <c r="I171" i="13"/>
  <c r="I170" i="13"/>
  <c r="I169" i="13"/>
  <c r="I168" i="13"/>
  <c r="I167" i="13"/>
  <c r="I166" i="13"/>
  <c r="I165" i="13"/>
  <c r="I164" i="13"/>
  <c r="M89" i="13" s="1"/>
  <c r="I163" i="13"/>
  <c r="I162" i="13"/>
  <c r="I161" i="13"/>
  <c r="I160" i="13"/>
  <c r="I159" i="13"/>
  <c r="I158" i="13"/>
  <c r="I157" i="13"/>
  <c r="I156" i="13"/>
  <c r="I155" i="13"/>
  <c r="I154" i="13"/>
  <c r="I153" i="13"/>
  <c r="I152" i="13"/>
  <c r="M88" i="13" s="1"/>
  <c r="I151" i="13"/>
  <c r="I150" i="13"/>
  <c r="I149" i="13"/>
  <c r="I148" i="13"/>
  <c r="I147" i="13"/>
  <c r="I146" i="13"/>
  <c r="I145" i="13"/>
  <c r="I144" i="13"/>
  <c r="I143" i="13"/>
  <c r="I142" i="13"/>
  <c r="I141" i="13"/>
  <c r="I140" i="13"/>
  <c r="M87" i="13" s="1"/>
  <c r="I139" i="13"/>
  <c r="I138" i="13"/>
  <c r="I137" i="13"/>
  <c r="I136" i="13"/>
  <c r="I135" i="13"/>
  <c r="I134" i="13"/>
  <c r="I133" i="13"/>
  <c r="I132" i="13"/>
  <c r="I131" i="13"/>
  <c r="I130" i="13"/>
  <c r="I129" i="13"/>
  <c r="I128" i="13"/>
  <c r="M86" i="13" s="1"/>
  <c r="I127" i="13"/>
  <c r="I126" i="13"/>
  <c r="I125" i="13"/>
  <c r="I124" i="13"/>
  <c r="I123" i="13"/>
  <c r="I122" i="13"/>
  <c r="I121" i="13"/>
  <c r="I120" i="13"/>
  <c r="I119" i="13"/>
  <c r="I118" i="13"/>
  <c r="I117" i="13"/>
  <c r="I116" i="13"/>
  <c r="M85" i="13" s="1"/>
  <c r="I115" i="13"/>
  <c r="I114" i="13"/>
  <c r="I113" i="13"/>
  <c r="I112" i="13"/>
  <c r="I111" i="13"/>
  <c r="I110" i="13"/>
  <c r="I109" i="13"/>
  <c r="I108" i="13"/>
  <c r="I107" i="13"/>
  <c r="I106" i="13"/>
  <c r="I105" i="13"/>
  <c r="I104" i="13"/>
  <c r="M84" i="13" s="1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M83" i="13" s="1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M73" i="12"/>
  <c r="M72" i="12"/>
  <c r="M71" i="12"/>
  <c r="M70" i="12"/>
  <c r="M69" i="12"/>
  <c r="M66" i="12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M28" i="11" s="1"/>
  <c r="I38" i="11"/>
  <c r="I39" i="11"/>
  <c r="I40" i="11"/>
  <c r="I41" i="11"/>
  <c r="I42" i="11"/>
  <c r="I43" i="11"/>
  <c r="I44" i="11"/>
  <c r="I45" i="11"/>
  <c r="I46" i="11"/>
  <c r="I47" i="11"/>
  <c r="I48" i="11"/>
  <c r="I49" i="11"/>
  <c r="M29" i="11" s="1"/>
  <c r="I50" i="11"/>
  <c r="I51" i="11"/>
  <c r="I52" i="11"/>
  <c r="I53" i="11"/>
  <c r="I54" i="11"/>
  <c r="I55" i="11"/>
  <c r="I56" i="11"/>
  <c r="I57" i="11"/>
  <c r="I58" i="11"/>
  <c r="I59" i="11"/>
  <c r="I60" i="11"/>
  <c r="I61" i="11"/>
  <c r="M30" i="11" s="1"/>
  <c r="I62" i="11"/>
  <c r="I63" i="11"/>
  <c r="I64" i="11"/>
  <c r="I65" i="11"/>
  <c r="I66" i="11"/>
  <c r="I67" i="11"/>
  <c r="I68" i="11"/>
  <c r="I69" i="11"/>
  <c r="I70" i="11"/>
  <c r="I71" i="11"/>
  <c r="I72" i="11"/>
  <c r="I73" i="11"/>
  <c r="M31" i="11" s="1"/>
  <c r="I74" i="11"/>
  <c r="I75" i="11"/>
  <c r="I76" i="11"/>
  <c r="I77" i="11"/>
  <c r="I78" i="11"/>
  <c r="I79" i="11"/>
  <c r="I80" i="11"/>
  <c r="I81" i="11"/>
  <c r="I82" i="11"/>
  <c r="I83" i="11"/>
  <c r="I84" i="11"/>
  <c r="I85" i="11"/>
  <c r="M32" i="11" s="1"/>
  <c r="I86" i="11"/>
  <c r="I87" i="11"/>
  <c r="I88" i="11"/>
  <c r="I89" i="11"/>
  <c r="I90" i="11"/>
  <c r="I91" i="11"/>
  <c r="I92" i="11"/>
  <c r="I93" i="11"/>
  <c r="I94" i="11"/>
  <c r="I95" i="11"/>
  <c r="I96" i="11"/>
  <c r="I97" i="11"/>
  <c r="M33" i="11" s="1"/>
  <c r="I98" i="11"/>
  <c r="I99" i="11"/>
  <c r="I100" i="11"/>
  <c r="I101" i="11"/>
  <c r="I102" i="11"/>
  <c r="I104" i="11"/>
  <c r="I105" i="11"/>
  <c r="I106" i="11"/>
  <c r="I107" i="11"/>
  <c r="I108" i="11"/>
  <c r="I109" i="11"/>
  <c r="M34" i="11" s="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M35" i="11" s="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M36" i="11" s="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10" i="11"/>
  <c r="AJ8" i="25" l="1"/>
  <c r="X13" i="23"/>
  <c r="M26" i="17"/>
  <c r="M26" i="16"/>
  <c r="M82" i="13"/>
  <c r="M27" i="11"/>
  <c r="I315" i="13"/>
  <c r="X21" i="23" l="1"/>
  <c r="X16" i="23"/>
  <c r="N28" i="11"/>
  <c r="O28" i="11" s="1"/>
  <c r="P28" i="11" s="1"/>
  <c r="N33" i="11"/>
  <c r="O33" i="11" s="1"/>
  <c r="P33" i="11" s="1"/>
  <c r="N34" i="11"/>
  <c r="O34" i="11" s="1"/>
  <c r="P34" i="11" s="1"/>
  <c r="N29" i="11"/>
  <c r="O29" i="11" s="1"/>
  <c r="P29" i="11" s="1"/>
  <c r="N30" i="11"/>
  <c r="O30" i="11" s="1"/>
  <c r="P30" i="11" s="1"/>
  <c r="N31" i="11"/>
  <c r="O31" i="11" s="1"/>
  <c r="P31" i="11" s="1"/>
  <c r="N32" i="11"/>
  <c r="O32" i="11" s="1"/>
  <c r="P32" i="11" s="1"/>
  <c r="N35" i="11"/>
  <c r="O35" i="11" s="1"/>
  <c r="P35" i="11" s="1"/>
  <c r="N36" i="11"/>
  <c r="O36" i="11" s="1"/>
  <c r="P36" i="11" s="1"/>
  <c r="N27" i="11"/>
  <c r="O27" i="11" s="1"/>
  <c r="P27" i="11" s="1"/>
  <c r="A45" i="4" l="1"/>
  <c r="B45" i="4"/>
  <c r="A46" i="4"/>
  <c r="B46" i="4"/>
  <c r="A47" i="4"/>
  <c r="B47" i="4"/>
  <c r="A48" i="4"/>
  <c r="B48" i="4"/>
  <c r="A49" i="4"/>
  <c r="B49" i="4"/>
  <c r="A50" i="4"/>
  <c r="B50" i="4"/>
  <c r="D9" i="4"/>
  <c r="I5" i="1" l="1"/>
  <c r="I6" i="1"/>
  <c r="D10" i="5"/>
  <c r="D9" i="5"/>
  <c r="D8" i="5"/>
  <c r="D7" i="5"/>
  <c r="F10" i="5"/>
  <c r="F9" i="5"/>
  <c r="F8" i="5"/>
  <c r="F7" i="5"/>
  <c r="F5" i="5"/>
  <c r="C10" i="5"/>
  <c r="C9" i="5"/>
  <c r="C8" i="5"/>
  <c r="C7" i="5"/>
  <c r="C6" i="5"/>
  <c r="N67" i="12" l="1"/>
  <c r="O67" i="12" s="1"/>
  <c r="P67" i="12" s="1"/>
  <c r="N68" i="12"/>
  <c r="O68" i="12" s="1"/>
  <c r="P68" i="12" s="1"/>
  <c r="N69" i="12"/>
  <c r="O69" i="12" s="1"/>
  <c r="P69" i="12" s="1"/>
  <c r="N72" i="12"/>
  <c r="O72" i="12" s="1"/>
  <c r="P72" i="12" s="1"/>
  <c r="N73" i="12"/>
  <c r="O73" i="12" s="1"/>
  <c r="P73" i="12" s="1"/>
  <c r="N70" i="12"/>
  <c r="O70" i="12" s="1"/>
  <c r="P70" i="12" s="1"/>
  <c r="N71" i="12"/>
  <c r="O71" i="12" s="1"/>
  <c r="P71" i="12" s="1"/>
  <c r="N74" i="12"/>
  <c r="O74" i="12" s="1"/>
  <c r="P74" i="12" s="1"/>
  <c r="N65" i="12"/>
  <c r="O65" i="12" s="1"/>
  <c r="P65" i="12" s="1"/>
  <c r="N66" i="12"/>
  <c r="O66" i="12" s="1"/>
  <c r="P66" i="12" s="1"/>
  <c r="N31" i="17"/>
  <c r="O31" i="17" s="1"/>
  <c r="P31" i="17" s="1"/>
  <c r="N35" i="17"/>
  <c r="O35" i="17" s="1"/>
  <c r="P35" i="17" s="1"/>
  <c r="N27" i="17"/>
  <c r="O27" i="17" s="1"/>
  <c r="P27" i="17" s="1"/>
  <c r="N28" i="17"/>
  <c r="O28" i="17" s="1"/>
  <c r="P28" i="17" s="1"/>
  <c r="N30" i="17"/>
  <c r="O30" i="17" s="1"/>
  <c r="P30" i="17" s="1"/>
  <c r="N29" i="17"/>
  <c r="O29" i="17" s="1"/>
  <c r="P29" i="17" s="1"/>
  <c r="N32" i="17"/>
  <c r="O32" i="17" s="1"/>
  <c r="P32" i="17" s="1"/>
  <c r="N33" i="17"/>
  <c r="O33" i="17" s="1"/>
  <c r="P33" i="17" s="1"/>
  <c r="N34" i="17"/>
  <c r="O34" i="17" s="1"/>
  <c r="P34" i="17" s="1"/>
  <c r="N26" i="17"/>
  <c r="O26" i="17" s="1"/>
  <c r="P26" i="17" s="1"/>
  <c r="N86" i="13"/>
  <c r="O86" i="13" s="1"/>
  <c r="P86" i="13" s="1"/>
  <c r="N82" i="13"/>
  <c r="O82" i="13" s="1"/>
  <c r="P82" i="13" s="1"/>
  <c r="N87" i="13"/>
  <c r="O87" i="13" s="1"/>
  <c r="P87" i="13" s="1"/>
  <c r="N91" i="13"/>
  <c r="O91" i="13" s="1"/>
  <c r="P91" i="13" s="1"/>
  <c r="N88" i="13"/>
  <c r="O88" i="13" s="1"/>
  <c r="P88" i="13" s="1"/>
  <c r="N89" i="13"/>
  <c r="O89" i="13" s="1"/>
  <c r="P89" i="13" s="1"/>
  <c r="N90" i="13"/>
  <c r="O90" i="13" s="1"/>
  <c r="P90" i="13" s="1"/>
  <c r="N83" i="13"/>
  <c r="O83" i="13" s="1"/>
  <c r="P83" i="13" s="1"/>
  <c r="N84" i="13"/>
  <c r="O84" i="13" s="1"/>
  <c r="P84" i="13" s="1"/>
  <c r="N85" i="13"/>
  <c r="O85" i="13" s="1"/>
  <c r="P85" i="13" s="1"/>
  <c r="N34" i="16"/>
  <c r="O34" i="16" s="1"/>
  <c r="P34" i="16" s="1"/>
  <c r="N35" i="16"/>
  <c r="O35" i="16" s="1"/>
  <c r="P35" i="16" s="1"/>
  <c r="N26" i="16"/>
  <c r="O26" i="16" s="1"/>
  <c r="P26" i="16" s="1"/>
  <c r="N27" i="16"/>
  <c r="O27" i="16" s="1"/>
  <c r="P27" i="16" s="1"/>
  <c r="N28" i="16"/>
  <c r="O28" i="16" s="1"/>
  <c r="P28" i="16" s="1"/>
  <c r="N29" i="16"/>
  <c r="O29" i="16" s="1"/>
  <c r="P29" i="16" s="1"/>
  <c r="N30" i="16"/>
  <c r="O30" i="16" s="1"/>
  <c r="P30" i="16" s="1"/>
  <c r="N31" i="16"/>
  <c r="O31" i="16" s="1"/>
  <c r="P31" i="16" s="1"/>
  <c r="N32" i="16"/>
  <c r="O32" i="16" s="1"/>
  <c r="P32" i="16" s="1"/>
  <c r="N33" i="16"/>
  <c r="O33" i="16" s="1"/>
  <c r="P33" i="16" s="1"/>
  <c r="N30" i="15"/>
  <c r="O30" i="15" s="1"/>
  <c r="P30" i="15" s="1"/>
  <c r="N31" i="15"/>
  <c r="O31" i="15" s="1"/>
  <c r="P31" i="15" s="1"/>
  <c r="N35" i="15"/>
  <c r="O35" i="15" s="1"/>
  <c r="P35" i="15" s="1"/>
  <c r="N26" i="15"/>
  <c r="O26" i="15" s="1"/>
  <c r="P26" i="15" s="1"/>
  <c r="N32" i="15"/>
  <c r="O32" i="15" s="1"/>
  <c r="P32" i="15" s="1"/>
  <c r="N33" i="15"/>
  <c r="O33" i="15" s="1"/>
  <c r="P33" i="15" s="1"/>
  <c r="N34" i="15"/>
  <c r="O34" i="15" s="1"/>
  <c r="P34" i="15" s="1"/>
  <c r="N27" i="15"/>
  <c r="O27" i="15" s="1"/>
  <c r="P27" i="15" s="1"/>
  <c r="N28" i="15"/>
  <c r="O28" i="15" s="1"/>
  <c r="P28" i="15" s="1"/>
  <c r="N29" i="15"/>
  <c r="O29" i="15" s="1"/>
  <c r="P29" i="15" s="1"/>
  <c r="C50" i="4"/>
  <c r="I7" i="1"/>
  <c r="C49" i="4"/>
  <c r="C45" i="4"/>
  <c r="C46" i="4"/>
  <c r="C47" i="4"/>
  <c r="C48" i="4"/>
  <c r="D16" i="4"/>
  <c r="D20" i="4" s="1"/>
  <c r="E6" i="5"/>
  <c r="E7" i="5"/>
  <c r="G7" i="5"/>
  <c r="E8" i="5"/>
  <c r="G8" i="5"/>
  <c r="E9" i="5"/>
  <c r="G9" i="5"/>
  <c r="E10" i="5"/>
  <c r="G10" i="5"/>
  <c r="G5" i="5"/>
  <c r="E5" i="5"/>
  <c r="F32" i="1"/>
  <c r="F41" i="1" s="1"/>
  <c r="D41" i="1"/>
  <c r="E41" i="1"/>
  <c r="G41" i="1"/>
  <c r="H41" i="1"/>
  <c r="C41" i="1"/>
  <c r="D40" i="1"/>
  <c r="E40" i="1"/>
  <c r="G40" i="1"/>
  <c r="H40" i="1"/>
  <c r="C40" i="1"/>
  <c r="E15" i="5" l="1"/>
  <c r="G17" i="5" s="1"/>
  <c r="C8" i="7"/>
  <c r="C51" i="4"/>
  <c r="F40" i="1"/>
  <c r="E27" i="4"/>
  <c r="C27" i="4"/>
  <c r="D27" i="4"/>
  <c r="D26" i="4"/>
  <c r="E26" i="4"/>
  <c r="C6" i="7" l="1"/>
  <c r="C11" i="7" s="1"/>
  <c r="E14" i="7"/>
  <c r="F27" i="4"/>
  <c r="F26" i="4"/>
  <c r="AM4" i="25" l="1"/>
  <c r="E11" i="7"/>
  <c r="AH4" i="24"/>
  <c r="AE4" i="23"/>
  <c r="AF5" i="23" s="1"/>
  <c r="AA4" i="22"/>
  <c r="AB5" i="22" s="1"/>
  <c r="D48" i="4"/>
  <c r="D46" i="4"/>
  <c r="D47" i="4"/>
  <c r="D49" i="4"/>
  <c r="AN5" i="25" l="1"/>
  <c r="AN7" i="25"/>
  <c r="AN6" i="25"/>
  <c r="AN8" i="25"/>
  <c r="AI8" i="24"/>
  <c r="AI6" i="24"/>
  <c r="AI7" i="24"/>
  <c r="AI5" i="24"/>
  <c r="AB6" i="22"/>
  <c r="AB8" i="22"/>
  <c r="AB7" i="22"/>
  <c r="AF7" i="23"/>
  <c r="AF6" i="23"/>
  <c r="AF8" i="23"/>
  <c r="D45" i="4"/>
  <c r="Q27" i="16"/>
  <c r="R27" i="16" s="1"/>
  <c r="Q33" i="16"/>
  <c r="R33" i="16" s="1"/>
  <c r="Q28" i="16"/>
  <c r="R28" i="16" s="1"/>
  <c r="Q29" i="16"/>
  <c r="R29" i="16" s="1"/>
  <c r="Q32" i="16"/>
  <c r="R32" i="16" s="1"/>
  <c r="Q30" i="16"/>
  <c r="R30" i="16" s="1"/>
  <c r="Q31" i="16"/>
  <c r="R31" i="16" s="1"/>
  <c r="Q34" i="16"/>
  <c r="R34" i="16" s="1"/>
  <c r="Q35" i="16"/>
  <c r="R35" i="16" s="1"/>
  <c r="Q26" i="16"/>
  <c r="R26" i="16" s="1"/>
  <c r="Q29" i="15"/>
  <c r="R29" i="15" s="1"/>
  <c r="Q34" i="15"/>
  <c r="R34" i="15" s="1"/>
  <c r="Q30" i="15"/>
  <c r="R30" i="15" s="1"/>
  <c r="Q31" i="15"/>
  <c r="R31" i="15" s="1"/>
  <c r="Q32" i="15"/>
  <c r="R32" i="15" s="1"/>
  <c r="Q33" i="15"/>
  <c r="R33" i="15" s="1"/>
  <c r="Q35" i="15"/>
  <c r="R35" i="15" s="1"/>
  <c r="Q26" i="15"/>
  <c r="R26" i="15" s="1"/>
  <c r="Q27" i="15"/>
  <c r="R27" i="15" s="1"/>
  <c r="Q28" i="15"/>
  <c r="R28" i="15" s="1"/>
  <c r="Q27" i="17"/>
  <c r="R27" i="17" s="1"/>
  <c r="Q35" i="17"/>
  <c r="R35" i="17" s="1"/>
  <c r="Q28" i="17"/>
  <c r="R28" i="17" s="1"/>
  <c r="Q31" i="17"/>
  <c r="R31" i="17" s="1"/>
  <c r="Q29" i="17"/>
  <c r="R29" i="17" s="1"/>
  <c r="Q30" i="17"/>
  <c r="R30" i="17" s="1"/>
  <c r="Q32" i="17"/>
  <c r="R32" i="17" s="1"/>
  <c r="Q33" i="17"/>
  <c r="R33" i="17" s="1"/>
  <c r="Q34" i="17"/>
  <c r="R34" i="17" s="1"/>
  <c r="Q26" i="17"/>
  <c r="R26" i="17" s="1"/>
  <c r="Q87" i="13"/>
  <c r="R87" i="13" s="1"/>
  <c r="Q88" i="13"/>
  <c r="R88" i="13" s="1"/>
  <c r="Q82" i="13"/>
  <c r="R82" i="13" s="1"/>
  <c r="Q85" i="13"/>
  <c r="R85" i="13" s="1"/>
  <c r="Q89" i="13"/>
  <c r="R89" i="13" s="1"/>
  <c r="Q90" i="13"/>
  <c r="R90" i="13" s="1"/>
  <c r="Q91" i="13"/>
  <c r="R91" i="13" s="1"/>
  <c r="Q83" i="13"/>
  <c r="R83" i="13" s="1"/>
  <c r="Q84" i="13"/>
  <c r="R84" i="13" s="1"/>
  <c r="Q86" i="13"/>
  <c r="R86" i="13" s="1"/>
  <c r="Q72" i="12"/>
  <c r="R72" i="12" s="1"/>
  <c r="Q73" i="12"/>
  <c r="R73" i="12" s="1"/>
  <c r="Q66" i="12"/>
  <c r="R66" i="12" s="1"/>
  <c r="Q74" i="12"/>
  <c r="R74" i="12" s="1"/>
  <c r="Q65" i="12"/>
  <c r="R65" i="12" s="1"/>
  <c r="Q70" i="12"/>
  <c r="R70" i="12" s="1"/>
  <c r="Q67" i="12"/>
  <c r="R67" i="12" s="1"/>
  <c r="Q68" i="12"/>
  <c r="R68" i="12" s="1"/>
  <c r="Q69" i="12"/>
  <c r="R69" i="12" s="1"/>
  <c r="Q71" i="12"/>
  <c r="R71" i="12" s="1"/>
  <c r="Q36" i="11"/>
  <c r="R36" i="11" s="1"/>
  <c r="Q34" i="11"/>
  <c r="R34" i="11" s="1"/>
  <c r="Q27" i="11"/>
  <c r="R27" i="11" s="1"/>
  <c r="Q30" i="11"/>
  <c r="R30" i="11" s="1"/>
  <c r="Q29" i="11"/>
  <c r="R29" i="11" s="1"/>
  <c r="Q28" i="11"/>
  <c r="R28" i="11" s="1"/>
  <c r="Q31" i="11"/>
  <c r="R31" i="11" s="1"/>
  <c r="Q32" i="11"/>
  <c r="R32" i="11" s="1"/>
  <c r="Q33" i="11"/>
  <c r="R33" i="11" s="1"/>
  <c r="Q35" i="11"/>
  <c r="R35" i="11" s="1"/>
  <c r="D51" i="4"/>
  <c r="AN9" i="25" l="1"/>
  <c r="AI9" i="24"/>
  <c r="AB9" i="22"/>
  <c r="AF9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MSEP-Temp:  Mixed species environmental planting -  Temperate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04. HID_CEA_01_GENERIC_NO_INIT_CAL - Output 11" type="6" refreshedVersion="6" background="1" saveData="1">
    <textPr codePage="850" sourceFile="X:\BEN\ERF\CEA_PLO\04. HID_CEA_01_GENERIC_NO_INIT_CAL - Output 1.xls">
      <textFields>
        <textField/>
      </textFields>
    </textPr>
  </connection>
  <connection id="2" xr16:uid="{00000000-0015-0000-FFFF-FFFF01000000}" name="04. JIN_CEA_01_GENERIC_NO_INIT_CAL - Output 11" type="6" refreshedVersion="6" background="1" saveData="1">
    <textPr codePage="850" sourceFile="X:\BEN\ERF\CEA_PLO\04. JIN_CEA_01_GENERIC_NO_INIT_CAL - Output 1.xls">
      <textFields>
        <textField/>
      </textFields>
    </textPr>
  </connection>
  <connection id="3" xr16:uid="{A9AE0031-B022-47C3-BD25-F07E8F34C27E}" name="04. JIN_CEA_01_GENERIC_NO_INIT_CAL_2016_MAN - Output 1" type="6" refreshedVersion="6" background="1" saveData="1">
    <textPr codePage="850" sourceFile="G:\PROJECT\ERF\DOGWOOD\1_FULLCAM\PLOTFILES\04. JIN_CEA_01_GENERIC_NO_INIT_CAL_2016_MAN - Output 1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2000000}" name="04. LIS_CEA_01_GENERIC_NO_INIT_CAL - Output 1" type="6" refreshedVersion="6" background="1" saveData="1">
    <textPr codePage="850" sourceFile="X:\BEN\ERF\CEA_PLO\04. LIS_CEA_01_GENERIC_NO_INIT_CAL - Output 1.xls">
      <textFields>
        <textField/>
      </textFields>
    </textPr>
  </connection>
  <connection id="5" xr16:uid="{00000000-0015-0000-FFFF-FFFF03000000}" name="04. LIS_CEA_01_GENERIC_NO_INIT_CAL - Output 11" type="6" refreshedVersion="6" background="1" saveData="1">
    <textPr codePage="850" sourceFile="X:\BEN\ERF\CEA_PLO\04. LIS_CEA_01_GENERIC_NO_INIT_CAL - Output 1.xls">
      <textFields>
        <textField/>
      </textFields>
    </textPr>
  </connection>
  <connection id="6" xr16:uid="{00000000-0015-0000-FFFF-FFFF04000000}" name="04. STE_CEA_01_GENERIC_NO_INIT_CAL - Output 1" type="6" refreshedVersion="6" background="1" saveData="1">
    <textPr codePage="850" sourceFile="X:\BEN\ERF\CEA_PLO\04. STE_CEA_01_GENERIC_NO_INIT_CAL - Output 1.xls">
      <textFields>
        <textField/>
      </textFields>
    </textPr>
  </connection>
  <connection id="7" xr16:uid="{00000000-0015-0000-FFFF-FFFF05000000}" name="04. STE_CEA_02_GENERIC_NO_INIT_CAL - Output 1" type="6" refreshedVersion="6" background="1" saveData="1">
    <textPr codePage="850" sourceFile="X:\BEN\ERF\CEA_PLO\04. STE_CEA_02_GENERIC_NO_INIT_CAL - Output 1.xls">
      <textFields>
        <textField/>
      </textFields>
    </textPr>
  </connection>
  <connection id="8" xr16:uid="{00000000-0015-0000-FFFF-FFFF06000000}" name="04. STE_CEA_03_GENERIC_NO_INIT_CAL - Output 1" type="6" refreshedVersion="6" background="1" saveData="1">
    <textPr codePage="850" sourceFile="X:\BEN\ERF\CEA_PLO\04. STE_CEA_03_GENERIC_NO_INIT_CAL - Output 1.xls">
      <textFields>
        <textField/>
      </textFields>
    </textPr>
  </connection>
</connections>
</file>

<file path=xl/sharedStrings.xml><?xml version="1.0" encoding="utf-8"?>
<sst xmlns="http://schemas.openxmlformats.org/spreadsheetml/2006/main" count="1010" uniqueCount="277">
  <si>
    <t>Emissions Reduction Fund Offsets Report</t>
  </si>
  <si>
    <t>Dogwood Carbon Project</t>
  </si>
  <si>
    <t>Item</t>
  </si>
  <si>
    <t>Project details</t>
  </si>
  <si>
    <t>Project Name</t>
  </si>
  <si>
    <t>Registration number</t>
  </si>
  <si>
    <t>ERF Project ID 101808</t>
  </si>
  <si>
    <t>Participant</t>
  </si>
  <si>
    <t>Corporate Carbon Solutions Pty Ltd</t>
  </si>
  <si>
    <t>Commencement date</t>
  </si>
  <si>
    <t>Reporting period</t>
  </si>
  <si>
    <t>1 Jan 2023 to 01 January 2024 (1 year)</t>
  </si>
  <si>
    <t>Report number</t>
  </si>
  <si>
    <t>Report 8</t>
  </si>
  <si>
    <t>Code</t>
  </si>
  <si>
    <t>Section</t>
  </si>
  <si>
    <t>Cover</t>
  </si>
  <si>
    <t>Net Abatement</t>
  </si>
  <si>
    <t>CEA Attributes</t>
  </si>
  <si>
    <t>Abatement</t>
  </si>
  <si>
    <t>Project Emissions</t>
  </si>
  <si>
    <t>Global Warming Potential</t>
  </si>
  <si>
    <t>Fuel Emissions</t>
  </si>
  <si>
    <t>CEA-01 Stewartdale</t>
  </si>
  <si>
    <t>Equation 18; Section 5.8(a)</t>
  </si>
  <si>
    <t>Symbol</t>
  </si>
  <si>
    <t>Element</t>
  </si>
  <si>
    <t>CO2-e (t)</t>
  </si>
  <si>
    <t>CP</t>
  </si>
  <si>
    <t xml:space="preserve">Carbon stock  for the project (in tonnes CO2-e) - Equation 11b. </t>
  </si>
  <si>
    <t>5.8(g)</t>
  </si>
  <si>
    <t>EB</t>
  </si>
  <si>
    <t>Total project emissions from biomass burning  for the project (in tonnes of CO2-2) - Equation 15</t>
  </si>
  <si>
    <t>5.8(c )</t>
  </si>
  <si>
    <t>EF</t>
  </si>
  <si>
    <t>Total project fuel emissions for the project (in tonnes CO2-e) - Equation 17</t>
  </si>
  <si>
    <t>5.8(d)</t>
  </si>
  <si>
    <t>CN</t>
  </si>
  <si>
    <t>Initial carbon stock for the project area (in tonnes CO2-e) Equation 11a</t>
  </si>
  <si>
    <t>5.8(e/f)</t>
  </si>
  <si>
    <t>CV</t>
  </si>
  <si>
    <t>Final carbon stock for the project from the previous offsets report (in tonnes CO2-e)</t>
  </si>
  <si>
    <t>na</t>
  </si>
  <si>
    <t xml:space="preserve"> </t>
  </si>
  <si>
    <t>A</t>
  </si>
  <si>
    <t>Project net abatement for the reporting period (in tonnes CO2-e)</t>
  </si>
  <si>
    <t>5.8(a)</t>
  </si>
  <si>
    <t>Carbon stock change</t>
  </si>
  <si>
    <t>5.8(b)</t>
  </si>
  <si>
    <t>Af</t>
  </si>
  <si>
    <t>25 years Permance Proj _Buffers (risk of reversal =5%; permanence period = 20%, total = 25% )</t>
  </si>
  <si>
    <t>Method Ref</t>
  </si>
  <si>
    <t>CEA identification number</t>
  </si>
  <si>
    <t>STE_CEA_01</t>
  </si>
  <si>
    <t>STE_CEA_02</t>
  </si>
  <si>
    <t>STE_CEA_03</t>
  </si>
  <si>
    <t>JIN_CEA_01</t>
  </si>
  <si>
    <t>OLD_CEA_01</t>
  </si>
  <si>
    <t>LIS_CEA_01</t>
  </si>
  <si>
    <t>Landholder / Property</t>
  </si>
  <si>
    <t>Stewartdale</t>
  </si>
  <si>
    <t>Jingeri</t>
  </si>
  <si>
    <t>Old Hidden Vale</t>
  </si>
  <si>
    <t>Liscombe Pools</t>
  </si>
  <si>
    <t>Date finished planting</t>
  </si>
  <si>
    <t>Modelling Start Date</t>
  </si>
  <si>
    <t>CEA area (ha)</t>
  </si>
  <si>
    <t>Exclusion area (ha)</t>
  </si>
  <si>
    <t>Principal evidence of planting history</t>
  </si>
  <si>
    <t>Mgt Records</t>
  </si>
  <si>
    <t>Permanent planting type</t>
  </si>
  <si>
    <t>MSEP-Temp</t>
  </si>
  <si>
    <t>Permanent planting established on or after 1 July 2007?</t>
  </si>
  <si>
    <t>Yes - see plant date</t>
  </si>
  <si>
    <t>2.3 (3)</t>
  </si>
  <si>
    <t>Did not contain woody biomass that needed to be cleared prior to the planting going ahead (other than known weed species required by law to be cleared)</t>
  </si>
  <si>
    <t>No - refer mgt records</t>
  </si>
  <si>
    <t>Land clear at 1989?</t>
  </si>
  <si>
    <t>Yes</t>
  </si>
  <si>
    <t>Planting required by law?</t>
  </si>
  <si>
    <t>No</t>
  </si>
  <si>
    <t>2.3 (4)</t>
  </si>
  <si>
    <t>Clear of forest cover for 5 years before planting</t>
  </si>
  <si>
    <t>2.3 (5)</t>
  </si>
  <si>
    <t>Project trees have the potential to attain forest cover?</t>
  </si>
  <si>
    <t>Species planted</t>
  </si>
  <si>
    <t>E.tereticornis, E.moluccana, E.melanophloia, L.suaveolens, E.crebra, E.siderophloia, L.confertus, C.tessellaris, C.intermedia, C.clarksoniana,  A.leiocarpa</t>
  </si>
  <si>
    <t>E.tereticornis, E.crebra, E.siderophloia, E.melliodora, E.albens, C.citridora, C.intermedia, C.trachyploia, L.confertus, E.Longirostrata</t>
  </si>
  <si>
    <t>E.tereticornis, C.citriodora, E.moluccana, E.propinqua, E.melanophloia, E.major, E.biturbinata, E.microcorys, E.longirostrata, L.confertus, A.leiocarpa, A.woodsiana, E.crebra, E.carnea, E.fibrosa, E.portuensis, E.acmenoides, M.viminalis, E.siderophloia, C.intermedia, C.trachyphloia</t>
  </si>
  <si>
    <t>Eucalyptus melliodora, Angophora floribund, Eucalyptus polyanthemos, Eucalyptus albens, Eucalyptus blakelyi, Allocasuarina verticillata, Grevillea robusta, Melia azedarach, Brachychition populneus, Acacia decurrens, Acacia baileyana</t>
  </si>
  <si>
    <t>RE Class</t>
  </si>
  <si>
    <t>12.3.3</t>
  </si>
  <si>
    <t>12.9-10.2/12.9-10.7/12.9-10.19</t>
  </si>
  <si>
    <t>12.9-10.7</t>
  </si>
  <si>
    <t>12.8.16/12.8.14/12.8.9/12.8.4</t>
  </si>
  <si>
    <t>12.9-10.2/12.9-10.7/12.9-10.17a</t>
  </si>
  <si>
    <t>NSW PCTID 266, 277, 796 (White Box grassy woodland, Blakelys Red Gum - Yellow Box grassy tall woodland, Derived grassland of the NSW South Western Slopes)</t>
  </si>
  <si>
    <t>Soil type</t>
  </si>
  <si>
    <t>Kurosol</t>
  </si>
  <si>
    <t>Ferrosol - Red</t>
  </si>
  <si>
    <t>Sodosol</t>
  </si>
  <si>
    <t>Kandosol</t>
  </si>
  <si>
    <t>Aspect</t>
  </si>
  <si>
    <t>Varied</t>
  </si>
  <si>
    <t>Eastern &amp; Northern</t>
  </si>
  <si>
    <t>Northern</t>
  </si>
  <si>
    <t>Varied - Creek edge</t>
  </si>
  <si>
    <t>Slope position</t>
  </si>
  <si>
    <t>Mid-lower</t>
  </si>
  <si>
    <t>Mid</t>
  </si>
  <si>
    <t>Lower</t>
  </si>
  <si>
    <t>Land management regime</t>
  </si>
  <si>
    <t>Biodiversity</t>
  </si>
  <si>
    <t>What  are some key aspects which makes this a separate CEA to others?</t>
  </si>
  <si>
    <t>RE 12.8.16:  Open forest on sedimentary rocks, dry hillsides</t>
  </si>
  <si>
    <t>Soil Type</t>
  </si>
  <si>
    <t>Planting type</t>
  </si>
  <si>
    <t>Mixed spp.</t>
  </si>
  <si>
    <t>Planting geometry</t>
  </si>
  <si>
    <t>Block</t>
  </si>
  <si>
    <t>Planting spacing (rows, m)</t>
  </si>
  <si>
    <t>Tree spacing (m)</t>
  </si>
  <si>
    <t>Stocking density (assumed for modelling)</t>
  </si>
  <si>
    <t>&lt;500</t>
  </si>
  <si>
    <t>Tree proportion  (assumed for modelling)</t>
  </si>
  <si>
    <t>&lt;75%</t>
  </si>
  <si>
    <t>Subject to competition from adjacent trees?</t>
  </si>
  <si>
    <t>CEA boundary distance from stems of outermost plants</t>
  </si>
  <si>
    <t>0m</t>
  </si>
  <si>
    <t>Planting Start Date</t>
  </si>
  <si>
    <t>Planting Finish Date</t>
  </si>
  <si>
    <t>Average number of propagated seedling stock per ha</t>
  </si>
  <si>
    <t>Tree proportion of trees to shrubs at planting</t>
  </si>
  <si>
    <t xml:space="preserve">3.3 (2) (c) </t>
  </si>
  <si>
    <t>Operations history</t>
  </si>
  <si>
    <t>3.45, 3.48</t>
  </si>
  <si>
    <t>Has harvesting or thinning occurred?</t>
  </si>
  <si>
    <t>Has grazing affected forest cover?</t>
  </si>
  <si>
    <t>Use of lime or fertilizer</t>
  </si>
  <si>
    <t>Disturbance events including fire</t>
  </si>
  <si>
    <t>Nil</t>
  </si>
  <si>
    <t>Survival</t>
  </si>
  <si>
    <t xml:space="preserve">Simple calculation of future crown cover assuming radius of 2m and 30% mortality since establishment </t>
  </si>
  <si>
    <t>5.5 (a) (i) (A)</t>
  </si>
  <si>
    <t>Estimated stocking density 2016 (sterms per ha)</t>
  </si>
  <si>
    <t>5.5 (a) (i) (B)</t>
  </si>
  <si>
    <t>Anticipated crown cover at maturity</t>
  </si>
  <si>
    <t>&gt;20%</t>
  </si>
  <si>
    <t>5.5 (a) (ii) (A) and (B)</t>
  </si>
  <si>
    <t>Forest cover achieved and evidence it is maintained</t>
  </si>
  <si>
    <t>5.5 (a) (iii)</t>
  </si>
  <si>
    <t>Modelling commencement date</t>
  </si>
  <si>
    <t>Plant date</t>
  </si>
  <si>
    <t>5.5.(b) (i)</t>
  </si>
  <si>
    <t>FullCAM input dates</t>
  </si>
  <si>
    <t>Per mgt records</t>
  </si>
  <si>
    <t>1st offsets report: FullCAM settings</t>
  </si>
  <si>
    <t>Specific Calibration used</t>
  </si>
  <si>
    <t>Calibration used at this offsets report compliant with CEA:</t>
  </si>
  <si>
    <t>Yes.  S3.10(3)</t>
  </si>
  <si>
    <t>Specific Calibration assumptions - Species</t>
  </si>
  <si>
    <t>Generic</t>
  </si>
  <si>
    <t>Geometry</t>
  </si>
  <si>
    <t>N/A</t>
  </si>
  <si>
    <t>Proportion of trees</t>
  </si>
  <si>
    <t>Rationale</t>
  </si>
  <si>
    <t>Site measurements not yet undertaken</t>
  </si>
  <si>
    <t>Model point Latitude</t>
  </si>
  <si>
    <t>Model point Longitude</t>
  </si>
  <si>
    <t>End of simulation at 1OR (end of reporting period)</t>
  </si>
  <si>
    <t>Division 5.4; Section 5.8(b)</t>
  </si>
  <si>
    <t xml:space="preserve">Equation 12a </t>
  </si>
  <si>
    <t>2016 - Report 1</t>
  </si>
  <si>
    <t>Equation 12b</t>
  </si>
  <si>
    <t>2017 - Report 2</t>
  </si>
  <si>
    <t>2018 - Report 3</t>
  </si>
  <si>
    <t>2020 - Report 4</t>
  </si>
  <si>
    <t>2021 - Report 5</t>
  </si>
  <si>
    <t>2022 - Report 6</t>
  </si>
  <si>
    <t>2023 - Report 7</t>
  </si>
  <si>
    <t>2024 - Report 8</t>
  </si>
  <si>
    <t>Area</t>
  </si>
  <si>
    <t>Net abatement</t>
  </si>
  <si>
    <t>CEA Name</t>
  </si>
  <si>
    <t>FullCAM calibration used</t>
  </si>
  <si>
    <t>CEA area 
(ha)</t>
  </si>
  <si>
    <r>
      <t>Initial carbon mass trees - C</t>
    </r>
    <r>
      <rPr>
        <vertAlign val="subscript"/>
        <sz val="11"/>
        <color theme="1"/>
        <rFont val="Arial Narrow"/>
        <family val="2"/>
      </rPr>
      <t xml:space="preserve">Dt </t>
    </r>
    <r>
      <rPr>
        <sz val="11"/>
        <color theme="1"/>
        <rFont val="Arial Narrow"/>
        <family val="2"/>
      </rPr>
      <t xml:space="preserve">
(t C /ha)</t>
    </r>
  </si>
  <si>
    <t>Initial carbon mass debris - CDd 
(t C /ha)</t>
  </si>
  <si>
    <t>Initial carbon mass - CD 
(t C)</t>
  </si>
  <si>
    <t>End carbon mass trees - Ct
(t C /ha)</t>
  </si>
  <si>
    <t>End carbon mass debris - Cd 
(t C /ha)</t>
  </si>
  <si>
    <t>End carbon mass - C 
(t C)</t>
  </si>
  <si>
    <t>Splits</t>
  </si>
  <si>
    <t>Mixed species environmental planting - temperate</t>
  </si>
  <si>
    <t>HID_CEA_01</t>
  </si>
  <si>
    <r>
      <t>Initial carbon stock C</t>
    </r>
    <r>
      <rPr>
        <vertAlign val="subscript"/>
        <sz val="11"/>
        <color theme="1"/>
        <rFont val="Arial Narrow"/>
        <family val="2"/>
      </rPr>
      <t>N</t>
    </r>
    <r>
      <rPr>
        <sz val="11"/>
        <color theme="1"/>
        <rFont val="Arial Narrow"/>
        <family val="2"/>
      </rPr>
      <t xml:space="preserve"> (tCO2e)</t>
    </r>
  </si>
  <si>
    <r>
      <t>End carbon stock C</t>
    </r>
    <r>
      <rPr>
        <vertAlign val="subscript"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(tCO2e)</t>
    </r>
  </si>
  <si>
    <t>End carbon stock CP (tCO2e)</t>
  </si>
  <si>
    <t>(Equation 11a)</t>
  </si>
  <si>
    <t>Equation 11b</t>
  </si>
  <si>
    <t>Carbon stock change for project (tCO2-e) (5.8 (b))</t>
  </si>
  <si>
    <t>Total CO2 reduction to end of 2024:</t>
  </si>
  <si>
    <t>t CO2 sequestered in 2024:</t>
  </si>
  <si>
    <t>Initial carbon mass trees - CDt 
(t C /ha)</t>
  </si>
  <si>
    <t>Initial carbon stock CN (tCO2e)</t>
  </si>
  <si>
    <t>Division 5.4; Section 5.8(c)</t>
  </si>
  <si>
    <r>
      <t>CH4 Emissions - E</t>
    </r>
    <r>
      <rPr>
        <vertAlign val="subscript"/>
        <sz val="11"/>
        <color theme="1"/>
        <rFont val="Arial Narrow"/>
        <family val="2"/>
      </rPr>
      <t>CH4</t>
    </r>
    <r>
      <rPr>
        <sz val="11"/>
        <color theme="1"/>
        <rFont val="Arial Narrow"/>
        <family val="2"/>
      </rPr>
      <t xml:space="preserve">
(t CH</t>
    </r>
    <r>
      <rPr>
        <vertAlign val="subscript"/>
        <sz val="11"/>
        <color theme="1"/>
        <rFont val="Arial Narrow"/>
        <family val="2"/>
      </rPr>
      <t>4</t>
    </r>
    <r>
      <rPr>
        <sz val="11"/>
        <color theme="1"/>
        <rFont val="Arial Narrow"/>
        <family val="2"/>
      </rPr>
      <t>/ha)</t>
    </r>
  </si>
  <si>
    <r>
      <t>CH4 Emissions - E</t>
    </r>
    <r>
      <rPr>
        <vertAlign val="subscript"/>
        <sz val="11"/>
        <color theme="1"/>
        <rFont val="Arial Narrow"/>
        <family val="2"/>
      </rPr>
      <t xml:space="preserve">BCH4 
</t>
    </r>
    <r>
      <rPr>
        <sz val="11"/>
        <color theme="1"/>
        <rFont val="Arial Narrow"/>
        <family val="2"/>
      </rPr>
      <t>(t CH</t>
    </r>
    <r>
      <rPr>
        <vertAlign val="subscript"/>
        <sz val="11"/>
        <color theme="1"/>
        <rFont val="Arial Narrow"/>
        <family val="2"/>
      </rPr>
      <t>4</t>
    </r>
    <r>
      <rPr>
        <sz val="11"/>
        <color theme="1"/>
        <rFont val="Arial Narrow"/>
        <family val="2"/>
      </rPr>
      <t>)</t>
    </r>
  </si>
  <si>
    <r>
      <t>N</t>
    </r>
    <r>
      <rPr>
        <vertAlign val="sub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>O Emissions - E</t>
    </r>
    <r>
      <rPr>
        <vertAlign val="subscript"/>
        <sz val="11"/>
        <color theme="1"/>
        <rFont val="Arial Narrow"/>
        <family val="2"/>
      </rPr>
      <t>N2O</t>
    </r>
    <r>
      <rPr>
        <sz val="11"/>
        <color theme="1"/>
        <rFont val="Arial Narrow"/>
        <family val="2"/>
      </rPr>
      <t xml:space="preserve">
(t N</t>
    </r>
    <r>
      <rPr>
        <vertAlign val="sub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>O/ha)</t>
    </r>
  </si>
  <si>
    <r>
      <t>N2O Emissions - E</t>
    </r>
    <r>
      <rPr>
        <vertAlign val="subscript"/>
        <sz val="11"/>
        <color theme="1"/>
        <rFont val="Arial Narrow"/>
        <family val="2"/>
      </rPr>
      <t xml:space="preserve">BN2O
</t>
    </r>
    <r>
      <rPr>
        <sz val="11"/>
        <color theme="1"/>
        <rFont val="Arial Narrow"/>
        <family val="2"/>
      </rPr>
      <t>(t N</t>
    </r>
    <r>
      <rPr>
        <vertAlign val="sub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>O)</t>
    </r>
  </si>
  <si>
    <r>
      <t>Gl Warm Pot CH</t>
    </r>
    <r>
      <rPr>
        <vertAlign val="subscript"/>
        <sz val="11"/>
        <color theme="1"/>
        <rFont val="Arial Narrow"/>
        <family val="2"/>
      </rPr>
      <t>4</t>
    </r>
  </si>
  <si>
    <r>
      <t>Gl Warm Pot NO</t>
    </r>
    <r>
      <rPr>
        <vertAlign val="subscript"/>
        <sz val="11"/>
        <color theme="1"/>
        <rFont val="Arial Narrow"/>
        <family val="2"/>
      </rPr>
      <t>2</t>
    </r>
  </si>
  <si>
    <t xml:space="preserve">AR5 GPW 2020-21 onwards </t>
  </si>
  <si>
    <t>Equation 13</t>
  </si>
  <si>
    <t>Equation 14</t>
  </si>
  <si>
    <t>Equation 15</t>
  </si>
  <si>
    <t>Division 5.4; Section 5.8(d)</t>
  </si>
  <si>
    <t>Diesel use - for each hectare assume:</t>
  </si>
  <si>
    <t>Slashing frequency (events/year)</t>
  </si>
  <si>
    <t>Power rating of t (hp/kW)</t>
  </si>
  <si>
    <t>90 / 67</t>
  </si>
  <si>
    <t>Fuel consumption (l/hr)</t>
  </si>
  <si>
    <t>Productivity (hrs/ha)</t>
  </si>
  <si>
    <t>Project area (ha)</t>
  </si>
  <si>
    <t>Reporting period (years)</t>
  </si>
  <si>
    <t>Petrol use - For each property, assume:</t>
  </si>
  <si>
    <t>Site visit frequency (visits/yr)</t>
  </si>
  <si>
    <t>Travel distance/site visit (km)</t>
  </si>
  <si>
    <t>Fuel consumption of (l/km)</t>
  </si>
  <si>
    <t>Fuel consumption/site visit (litres)</t>
  </si>
  <si>
    <t>Qf - Total diesel (kL)</t>
  </si>
  <si>
    <t>Qf - Total gasoline (kL)</t>
  </si>
  <si>
    <r>
      <t xml:space="preserve">Fuel emission for each fuel type and greenhouse gas for the project - </t>
    </r>
    <r>
      <rPr>
        <b/>
        <sz val="11"/>
        <color theme="1"/>
        <rFont val="Arial Narrow"/>
        <family val="2"/>
      </rPr>
      <t>Equation 16</t>
    </r>
  </si>
  <si>
    <t>Fuel emissions (t CO2e)</t>
  </si>
  <si>
    <t>CO2</t>
  </si>
  <si>
    <t>CH4</t>
  </si>
  <si>
    <t>N2O</t>
  </si>
  <si>
    <t>Total CO2e</t>
  </si>
  <si>
    <t>Ef,diesel</t>
  </si>
  <si>
    <t xml:space="preserve">Ef,gasoline </t>
  </si>
  <si>
    <r>
      <t>Total project fuel emissions for the reporting period -</t>
    </r>
    <r>
      <rPr>
        <b/>
        <sz val="11"/>
        <color theme="1"/>
        <rFont val="Arial Narrow"/>
        <family val="2"/>
      </rPr>
      <t xml:space="preserve"> Equation 17</t>
    </r>
  </si>
  <si>
    <t>Ef - Total project fuel emssions for the reporting period=</t>
  </si>
  <si>
    <t>tonnes of CO2e</t>
  </si>
  <si>
    <t>Previous report</t>
  </si>
  <si>
    <t>Total project fuel emssions=</t>
  </si>
  <si>
    <t>Fuel combustion—fuels for transport energy purposes</t>
  </si>
  <si>
    <t>Fuel combusted</t>
  </si>
  <si>
    <t>Energy content factor</t>
  </si>
  <si>
    <t>Emission factor</t>
  </si>
  <si>
    <t>(GJ/kL unless otherwise indicated)</t>
  </si>
  <si>
    <r>
      <t>kg CO</t>
    </r>
    <r>
      <rPr>
        <b/>
        <vertAlign val="subscript"/>
        <sz val="10"/>
        <color theme="1"/>
        <rFont val="Arial Narrow"/>
        <family val="2"/>
      </rPr>
      <t>2</t>
    </r>
    <r>
      <rPr>
        <b/>
        <sz val="10"/>
        <color theme="1"/>
        <rFont val="Arial Narrow"/>
        <family val="2"/>
      </rPr>
      <t>‑e/GJ</t>
    </r>
  </si>
  <si>
    <t>(relevant oxidation factors incorporated)</t>
  </si>
  <si>
    <r>
      <t>CO</t>
    </r>
    <r>
      <rPr>
        <b/>
        <vertAlign val="subscript"/>
        <sz val="10"/>
        <color theme="1"/>
        <rFont val="Arial Narrow"/>
        <family val="2"/>
      </rPr>
      <t>2</t>
    </r>
  </si>
  <si>
    <r>
      <t>CH</t>
    </r>
    <r>
      <rPr>
        <b/>
        <vertAlign val="subscript"/>
        <sz val="10"/>
        <color theme="1"/>
        <rFont val="Arial Narrow"/>
        <family val="2"/>
      </rPr>
      <t>4</t>
    </r>
  </si>
  <si>
    <r>
      <t>N</t>
    </r>
    <r>
      <rPr>
        <b/>
        <vertAlign val="subscript"/>
        <sz val="10"/>
        <color theme="1"/>
        <rFont val="Arial Narrow"/>
        <family val="2"/>
      </rPr>
      <t>2</t>
    </r>
    <r>
      <rPr>
        <b/>
        <sz val="10"/>
        <color theme="1"/>
        <rFont val="Arial Narrow"/>
        <family val="2"/>
      </rPr>
      <t>O</t>
    </r>
  </si>
  <si>
    <t>Gasoline (other than for use as fuel in an aircraft)</t>
  </si>
  <si>
    <t>Diesel oil</t>
  </si>
  <si>
    <t>Proportion of fuel emmissions by CEA</t>
  </si>
  <si>
    <t>Proportion of Fuel emissions</t>
  </si>
  <si>
    <t>Total</t>
  </si>
  <si>
    <t>Year</t>
  </si>
  <si>
    <t>Month</t>
  </si>
  <si>
    <t>Day</t>
  </si>
  <si>
    <t>Dec. Year</t>
  </si>
  <si>
    <t>C mass of trees</t>
  </si>
  <si>
    <t>C mass of forest debris</t>
  </si>
  <si>
    <t>CH4 emitted due to fire</t>
  </si>
  <si>
    <t>N2O emitted due to fire</t>
  </si>
  <si>
    <t>C mass of trees+debris</t>
  </si>
  <si>
    <t>tC/ha</t>
  </si>
  <si>
    <t>tCH4/ha</t>
  </si>
  <si>
    <t>tN2O/ha</t>
  </si>
  <si>
    <t>Trees+Debris</t>
  </si>
  <si>
    <t>Abatement (t C)</t>
  </si>
  <si>
    <t>Aabtement (tCO2)</t>
  </si>
  <si>
    <t>Fuel Emissions tCO2e</t>
  </si>
  <si>
    <t>Net Abatement (tCO2e)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</si>
</sst>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"/>
    <numFmt numFmtId="165" formatCode="#,##0.00_ ;\-#,##0.00\ "/>
    <numFmt numFmtId="166" formatCode="0.000000"/>
    <numFmt numFmtId="167" formatCode="0.000"/>
    <numFmt numFmtId="168" formatCode="0.00000000000"/>
    <numFmt numFmtId="169" formatCode="0.0000"/>
    <numFmt numFmtId="170" formatCode="0.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vertAlign val="subscript"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bscript"/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20"/>
      <color theme="1"/>
      <name val="Arial Narrow"/>
      <family val="2"/>
    </font>
    <font>
      <sz val="9"/>
      <color theme="1"/>
      <name val="Calibri"/>
      <family val="2"/>
    </font>
    <font>
      <sz val="9"/>
      <color theme="1"/>
      <name val="Arial Narrow"/>
      <family val="2"/>
    </font>
    <font>
      <sz val="10"/>
      <color rgb="FF000000"/>
      <name val="Arial Narrow"/>
      <family val="2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gray06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12" xfId="0" applyFont="1" applyBorder="1" applyAlignment="1">
      <alignment vertical="center" wrapText="1"/>
    </xf>
    <xf numFmtId="0" fontId="2" fillId="0" borderId="12" xfId="0" applyFont="1" applyBorder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2" fillId="0" borderId="9" xfId="0" applyFont="1" applyBorder="1"/>
    <xf numFmtId="0" fontId="2" fillId="2" borderId="9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9" fontId="2" fillId="0" borderId="9" xfId="2" applyFont="1" applyBorder="1" applyAlignment="1">
      <alignment horizontal="center" vertical="top"/>
    </xf>
    <xf numFmtId="15" fontId="2" fillId="0" borderId="9" xfId="0" applyNumberFormat="1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 wrapText="1"/>
    </xf>
    <xf numFmtId="0" fontId="2" fillId="3" borderId="0" xfId="0" applyFont="1" applyFill="1"/>
    <xf numFmtId="0" fontId="2" fillId="0" borderId="4" xfId="0" applyFont="1" applyBorder="1" applyAlignment="1">
      <alignment vertical="top" wrapText="1"/>
    </xf>
    <xf numFmtId="2" fontId="2" fillId="0" borderId="2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164" fontId="2" fillId="0" borderId="9" xfId="0" applyNumberFormat="1" applyFont="1" applyBorder="1" applyAlignment="1">
      <alignment horizontal="center"/>
    </xf>
    <xf numFmtId="165" fontId="2" fillId="0" borderId="0" xfId="1" applyNumberFormat="1" applyFont="1" applyAlignment="1">
      <alignment horizontal="center" wrapText="1"/>
    </xf>
    <xf numFmtId="165" fontId="2" fillId="0" borderId="0" xfId="0" applyNumberFormat="1" applyFont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2" fillId="5" borderId="14" xfId="0" applyFont="1" applyFill="1" applyBorder="1"/>
    <xf numFmtId="0" fontId="2" fillId="5" borderId="13" xfId="0" applyFont="1" applyFill="1" applyBorder="1"/>
    <xf numFmtId="0" fontId="2" fillId="5" borderId="13" xfId="0" applyFont="1" applyFill="1" applyBorder="1" applyAlignment="1">
      <alignment horizontal="center"/>
    </xf>
    <xf numFmtId="2" fontId="2" fillId="5" borderId="13" xfId="0" applyNumberFormat="1" applyFont="1" applyFill="1" applyBorder="1" applyAlignment="1">
      <alignment horizontal="center" vertical="center"/>
    </xf>
    <xf numFmtId="2" fontId="2" fillId="5" borderId="15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0" fontId="0" fillId="0" borderId="9" xfId="0" applyBorder="1"/>
    <xf numFmtId="0" fontId="10" fillId="0" borderId="0" xfId="0" applyFont="1"/>
    <xf numFmtId="0" fontId="2" fillId="0" borderId="9" xfId="0" applyFont="1" applyBorder="1" applyAlignment="1">
      <alignment horizontal="justify" vertical="center" wrapText="1"/>
    </xf>
    <xf numFmtId="15" fontId="2" fillId="0" borderId="9" xfId="0" applyNumberFormat="1" applyFont="1" applyBorder="1" applyAlignment="1">
      <alignment horizontal="justify" vertical="center" wrapText="1"/>
    </xf>
    <xf numFmtId="0" fontId="10" fillId="2" borderId="9" xfId="0" applyFont="1" applyFill="1" applyBorder="1"/>
    <xf numFmtId="0" fontId="6" fillId="0" borderId="0" xfId="0" applyFont="1"/>
    <xf numFmtId="0" fontId="2" fillId="0" borderId="0" xfId="0" applyFont="1" applyAlignment="1">
      <alignment horizontal="left" indent="2"/>
    </xf>
    <xf numFmtId="165" fontId="2" fillId="0" borderId="9" xfId="1" applyNumberFormat="1" applyFont="1" applyFill="1" applyBorder="1" applyAlignment="1">
      <alignment horizontal="right"/>
    </xf>
    <xf numFmtId="2" fontId="2" fillId="0" borderId="9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64" fontId="10" fillId="2" borderId="9" xfId="0" applyNumberFormat="1" applyFont="1" applyFill="1" applyBorder="1" applyAlignment="1">
      <alignment horizontal="center"/>
    </xf>
    <xf numFmtId="0" fontId="11" fillId="0" borderId="0" xfId="0" applyFont="1"/>
    <xf numFmtId="0" fontId="2" fillId="3" borderId="9" xfId="0" applyFont="1" applyFill="1" applyBorder="1" applyAlignment="1">
      <alignment horizontal="justify" vertical="center" wrapText="1"/>
    </xf>
    <xf numFmtId="0" fontId="0" fillId="6" borderId="9" xfId="0" applyFill="1" applyBorder="1"/>
    <xf numFmtId="0" fontId="0" fillId="7" borderId="9" xfId="0" applyFill="1" applyBorder="1"/>
    <xf numFmtId="0" fontId="0" fillId="8" borderId="9" xfId="0" applyFill="1" applyBorder="1"/>
    <xf numFmtId="0" fontId="0" fillId="4" borderId="9" xfId="0" applyFill="1" applyBorder="1"/>
    <xf numFmtId="0" fontId="10" fillId="2" borderId="9" xfId="0" applyFont="1" applyFill="1" applyBorder="1" applyAlignment="1">
      <alignment horizontal="justify" vertical="center" wrapText="1"/>
    </xf>
    <xf numFmtId="0" fontId="2" fillId="9" borderId="9" xfId="0" applyFont="1" applyFill="1" applyBorder="1" applyAlignment="1">
      <alignment horizontal="center" vertical="top"/>
    </xf>
    <xf numFmtId="17" fontId="2" fillId="9" borderId="9" xfId="0" applyNumberFormat="1" applyFont="1" applyFill="1" applyBorder="1" applyAlignment="1">
      <alignment horizontal="center" vertical="top"/>
    </xf>
    <xf numFmtId="9" fontId="2" fillId="9" borderId="9" xfId="0" applyNumberFormat="1" applyFont="1" applyFill="1" applyBorder="1" applyAlignment="1">
      <alignment horizontal="center" vertical="top"/>
    </xf>
    <xf numFmtId="0" fontId="12" fillId="9" borderId="16" xfId="0" applyFont="1" applyFill="1" applyBorder="1" applyAlignment="1">
      <alignment vertical="center" wrapText="1"/>
    </xf>
    <xf numFmtId="14" fontId="2" fillId="9" borderId="9" xfId="0" applyNumberFormat="1" applyFont="1" applyFill="1" applyBorder="1" applyAlignment="1">
      <alignment horizontal="center" vertical="top"/>
    </xf>
    <xf numFmtId="0" fontId="2" fillId="3" borderId="0" xfId="0" applyFont="1" applyFill="1" applyAlignment="1">
      <alignment horizontal="center"/>
    </xf>
    <xf numFmtId="0" fontId="2" fillId="5" borderId="7" xfId="0" applyFont="1" applyFill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vertical="top"/>
    </xf>
    <xf numFmtId="0" fontId="13" fillId="0" borderId="9" xfId="0" applyFont="1" applyBorder="1" applyAlignment="1">
      <alignment horizontal="center" vertical="top" wrapText="1"/>
    </xf>
    <xf numFmtId="0" fontId="2" fillId="0" borderId="1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3" xfId="0" applyFont="1" applyBorder="1" applyAlignment="1">
      <alignment horizontal="center" vertical="top" wrapText="1"/>
    </xf>
    <xf numFmtId="2" fontId="2" fillId="0" borderId="13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right" vertical="top"/>
    </xf>
    <xf numFmtId="2" fontId="2" fillId="0" borderId="0" xfId="0" applyNumberFormat="1" applyFont="1"/>
    <xf numFmtId="164" fontId="2" fillId="0" borderId="0" xfId="0" applyNumberFormat="1" applyFont="1" applyAlignment="1">
      <alignment horizontal="center"/>
    </xf>
    <xf numFmtId="167" fontId="2" fillId="0" borderId="0" xfId="0" applyNumberFormat="1" applyFont="1"/>
    <xf numFmtId="164" fontId="2" fillId="0" borderId="0" xfId="0" applyNumberFormat="1" applyFont="1"/>
    <xf numFmtId="2" fontId="2" fillId="0" borderId="9" xfId="0" applyNumberFormat="1" applyFont="1" applyBorder="1" applyAlignment="1">
      <alignment horizontal="center"/>
    </xf>
    <xf numFmtId="0" fontId="5" fillId="0" borderId="12" xfId="0" applyFont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1" fontId="2" fillId="9" borderId="9" xfId="0" applyNumberFormat="1" applyFont="1" applyFill="1" applyBorder="1" applyAlignment="1">
      <alignment horizontal="center" vertical="top"/>
    </xf>
    <xf numFmtId="0" fontId="14" fillId="0" borderId="12" xfId="0" applyFont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166" fontId="2" fillId="0" borderId="3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10" fillId="0" borderId="1" xfId="0" applyFont="1" applyBorder="1"/>
    <xf numFmtId="0" fontId="10" fillId="0" borderId="2" xfId="0" applyFont="1" applyBorder="1"/>
    <xf numFmtId="2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8" fontId="2" fillId="0" borderId="0" xfId="0" applyNumberFormat="1" applyFont="1"/>
    <xf numFmtId="10" fontId="2" fillId="0" borderId="0" xfId="2" applyNumberFormat="1" applyFont="1"/>
    <xf numFmtId="2" fontId="0" fillId="0" borderId="0" xfId="0" applyNumberFormat="1"/>
    <xf numFmtId="169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  <xf numFmtId="169" fontId="2" fillId="0" borderId="5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2" fontId="2" fillId="5" borderId="0" xfId="0" applyNumberFormat="1" applyFont="1" applyFill="1" applyAlignment="1">
      <alignment horizontal="center" vertical="center"/>
    </xf>
    <xf numFmtId="165" fontId="2" fillId="3" borderId="0" xfId="0" applyNumberFormat="1" applyFont="1" applyFill="1"/>
    <xf numFmtId="2" fontId="2" fillId="3" borderId="0" xfId="0" applyNumberFormat="1" applyFont="1" applyFill="1"/>
    <xf numFmtId="2" fontId="2" fillId="0" borderId="9" xfId="0" applyNumberFormat="1" applyFont="1" applyBorder="1"/>
    <xf numFmtId="0" fontId="2" fillId="0" borderId="13" xfId="0" applyFont="1" applyBorder="1" applyAlignment="1">
      <alignment horizontal="center"/>
    </xf>
    <xf numFmtId="2" fontId="2" fillId="0" borderId="1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top" wrapText="1"/>
    </xf>
    <xf numFmtId="2" fontId="2" fillId="0" borderId="4" xfId="0" applyNumberFormat="1" applyFont="1" applyBorder="1"/>
    <xf numFmtId="10" fontId="2" fillId="0" borderId="0" xfId="2" applyNumberFormat="1" applyFont="1" applyFill="1" applyBorder="1"/>
    <xf numFmtId="164" fontId="2" fillId="0" borderId="5" xfId="0" applyNumberFormat="1" applyFont="1" applyBorder="1"/>
    <xf numFmtId="2" fontId="2" fillId="0" borderId="6" xfId="0" applyNumberFormat="1" applyFont="1" applyBorder="1"/>
    <xf numFmtId="2" fontId="2" fillId="0" borderId="7" xfId="0" applyNumberFormat="1" applyFont="1" applyBorder="1"/>
    <xf numFmtId="164" fontId="2" fillId="0" borderId="8" xfId="0" applyNumberFormat="1" applyFont="1" applyBorder="1"/>
    <xf numFmtId="0" fontId="15" fillId="0" borderId="9" xfId="0" applyFont="1" applyBorder="1"/>
    <xf numFmtId="2" fontId="10" fillId="0" borderId="9" xfId="0" applyNumberFormat="1" applyFont="1" applyBorder="1" applyAlignment="1">
      <alignment horizontal="center"/>
    </xf>
    <xf numFmtId="0" fontId="2" fillId="3" borderId="9" xfId="0" applyFont="1" applyFill="1" applyBorder="1" applyAlignment="1">
      <alignment horizontal="left" vertical="top"/>
    </xf>
    <xf numFmtId="0" fontId="2" fillId="3" borderId="9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center" vertical="top"/>
    </xf>
    <xf numFmtId="2" fontId="2" fillId="3" borderId="9" xfId="0" applyNumberFormat="1" applyFont="1" applyFill="1" applyBorder="1" applyAlignment="1">
      <alignment horizontal="center" vertical="top"/>
    </xf>
    <xf numFmtId="0" fontId="2" fillId="3" borderId="0" xfId="0" applyFont="1" applyFill="1" applyAlignment="1">
      <alignment vertical="top"/>
    </xf>
    <xf numFmtId="0" fontId="2" fillId="9" borderId="14" xfId="0" applyFont="1" applyFill="1" applyBorder="1" applyAlignment="1">
      <alignment horizontal="center" vertical="top"/>
    </xf>
    <xf numFmtId="0" fontId="2" fillId="9" borderId="13" xfId="0" applyFont="1" applyFill="1" applyBorder="1" applyAlignment="1">
      <alignment horizontal="center" vertical="top"/>
    </xf>
    <xf numFmtId="0" fontId="2" fillId="9" borderId="15" xfId="0" applyFont="1" applyFill="1" applyBorder="1" applyAlignment="1">
      <alignment horizontal="center" vertical="top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2" xfId="0" applyFont="1" applyBorder="1" applyAlignment="1">
      <alignment vertical="center" wrapText="1"/>
    </xf>
  </cellXfs>
  <cellStyles count="4">
    <cellStyle name="Comma" xfId="1" builtinId="3"/>
    <cellStyle name="Comma 2" xfId="3" xr:uid="{0A7D4102-B430-4F73-8D51-26126EDBEA36}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2BC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JIN_CEA_01!$E$8:$E$8</c:f>
              <c:strCache>
                <c:ptCount val="1"/>
                <c:pt idx="0">
                  <c:v>C mass of trees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JIN_CEA_01!$A$10:$A$314</c:f>
              <c:numCache>
                <c:formatCode>General</c:formatCode>
                <c:ptCount val="305"/>
                <c:pt idx="0">
                  <c:v>2015</c:v>
                </c:pt>
                <c:pt idx="1">
                  <c:v>2015</c:v>
                </c:pt>
                <c:pt idx="2">
                  <c:v>2015</c:v>
                </c:pt>
                <c:pt idx="3">
                  <c:v>2015</c:v>
                </c:pt>
                <c:pt idx="4">
                  <c:v>2015</c:v>
                </c:pt>
                <c:pt idx="5">
                  <c:v>2015</c:v>
                </c:pt>
                <c:pt idx="6">
                  <c:v>2015</c:v>
                </c:pt>
                <c:pt idx="7">
                  <c:v>2015</c:v>
                </c:pt>
                <c:pt idx="8">
                  <c:v>2015</c:v>
                </c:pt>
                <c:pt idx="9">
                  <c:v>2015</c:v>
                </c:pt>
                <c:pt idx="10">
                  <c:v>2016</c:v>
                </c:pt>
                <c:pt idx="11">
                  <c:v>2016</c:v>
                </c:pt>
                <c:pt idx="12">
                  <c:v>2016</c:v>
                </c:pt>
                <c:pt idx="13">
                  <c:v>2016</c:v>
                </c:pt>
                <c:pt idx="14">
                  <c:v>2016</c:v>
                </c:pt>
                <c:pt idx="15">
                  <c:v>2016</c:v>
                </c:pt>
                <c:pt idx="16">
                  <c:v>2016</c:v>
                </c:pt>
                <c:pt idx="17">
                  <c:v>2016</c:v>
                </c:pt>
                <c:pt idx="18">
                  <c:v>2016</c:v>
                </c:pt>
                <c:pt idx="19">
                  <c:v>2016</c:v>
                </c:pt>
                <c:pt idx="20">
                  <c:v>2016</c:v>
                </c:pt>
                <c:pt idx="21">
                  <c:v>2016</c:v>
                </c:pt>
                <c:pt idx="22">
                  <c:v>2017</c:v>
                </c:pt>
                <c:pt idx="23">
                  <c:v>2017</c:v>
                </c:pt>
                <c:pt idx="24">
                  <c:v>2017</c:v>
                </c:pt>
                <c:pt idx="25">
                  <c:v>2017</c:v>
                </c:pt>
                <c:pt idx="26">
                  <c:v>2017</c:v>
                </c:pt>
                <c:pt idx="27">
                  <c:v>2017</c:v>
                </c:pt>
                <c:pt idx="28">
                  <c:v>2017</c:v>
                </c:pt>
                <c:pt idx="29">
                  <c:v>2017</c:v>
                </c:pt>
                <c:pt idx="30">
                  <c:v>2017</c:v>
                </c:pt>
                <c:pt idx="31">
                  <c:v>2017</c:v>
                </c:pt>
                <c:pt idx="32">
                  <c:v>2017</c:v>
                </c:pt>
                <c:pt idx="33">
                  <c:v>2017</c:v>
                </c:pt>
                <c:pt idx="34">
                  <c:v>2018</c:v>
                </c:pt>
                <c:pt idx="35">
                  <c:v>2018</c:v>
                </c:pt>
                <c:pt idx="36">
                  <c:v>2018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2018</c:v>
                </c:pt>
                <c:pt idx="42">
                  <c:v>2018</c:v>
                </c:pt>
                <c:pt idx="43">
                  <c:v>2018</c:v>
                </c:pt>
                <c:pt idx="44">
                  <c:v>2018</c:v>
                </c:pt>
                <c:pt idx="45">
                  <c:v>2018</c:v>
                </c:pt>
                <c:pt idx="46">
                  <c:v>2019</c:v>
                </c:pt>
                <c:pt idx="47">
                  <c:v>2019</c:v>
                </c:pt>
                <c:pt idx="48">
                  <c:v>2019</c:v>
                </c:pt>
                <c:pt idx="49">
                  <c:v>2019</c:v>
                </c:pt>
                <c:pt idx="50">
                  <c:v>2019</c:v>
                </c:pt>
                <c:pt idx="51">
                  <c:v>2019</c:v>
                </c:pt>
                <c:pt idx="52">
                  <c:v>2019</c:v>
                </c:pt>
                <c:pt idx="53">
                  <c:v>2019</c:v>
                </c:pt>
                <c:pt idx="54">
                  <c:v>2019</c:v>
                </c:pt>
                <c:pt idx="55">
                  <c:v>2019</c:v>
                </c:pt>
                <c:pt idx="56">
                  <c:v>2019</c:v>
                </c:pt>
                <c:pt idx="57">
                  <c:v>2019</c:v>
                </c:pt>
                <c:pt idx="58">
                  <c:v>2020</c:v>
                </c:pt>
                <c:pt idx="59">
                  <c:v>2020</c:v>
                </c:pt>
                <c:pt idx="60">
                  <c:v>2020</c:v>
                </c:pt>
                <c:pt idx="61">
                  <c:v>2020</c:v>
                </c:pt>
                <c:pt idx="62">
                  <c:v>2020</c:v>
                </c:pt>
                <c:pt idx="63">
                  <c:v>2020</c:v>
                </c:pt>
                <c:pt idx="64">
                  <c:v>2020</c:v>
                </c:pt>
                <c:pt idx="65">
                  <c:v>2020</c:v>
                </c:pt>
                <c:pt idx="66">
                  <c:v>2020</c:v>
                </c:pt>
                <c:pt idx="67">
                  <c:v>2020</c:v>
                </c:pt>
                <c:pt idx="68">
                  <c:v>2020</c:v>
                </c:pt>
                <c:pt idx="69">
                  <c:v>2020</c:v>
                </c:pt>
                <c:pt idx="70">
                  <c:v>2021</c:v>
                </c:pt>
                <c:pt idx="71">
                  <c:v>2021</c:v>
                </c:pt>
                <c:pt idx="72">
                  <c:v>2021</c:v>
                </c:pt>
                <c:pt idx="73">
                  <c:v>2021</c:v>
                </c:pt>
                <c:pt idx="74">
                  <c:v>2021</c:v>
                </c:pt>
                <c:pt idx="75">
                  <c:v>2021</c:v>
                </c:pt>
                <c:pt idx="76">
                  <c:v>2021</c:v>
                </c:pt>
                <c:pt idx="77">
                  <c:v>2021</c:v>
                </c:pt>
                <c:pt idx="78">
                  <c:v>2021</c:v>
                </c:pt>
                <c:pt idx="79">
                  <c:v>2021</c:v>
                </c:pt>
                <c:pt idx="80">
                  <c:v>2021</c:v>
                </c:pt>
                <c:pt idx="81">
                  <c:v>2021</c:v>
                </c:pt>
                <c:pt idx="82">
                  <c:v>2022</c:v>
                </c:pt>
                <c:pt idx="83">
                  <c:v>2022</c:v>
                </c:pt>
                <c:pt idx="84">
                  <c:v>2022</c:v>
                </c:pt>
                <c:pt idx="85">
                  <c:v>2022</c:v>
                </c:pt>
                <c:pt idx="86">
                  <c:v>2022</c:v>
                </c:pt>
                <c:pt idx="87">
                  <c:v>2022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2022</c:v>
                </c:pt>
                <c:pt idx="92">
                  <c:v>2022</c:v>
                </c:pt>
                <c:pt idx="93">
                  <c:v>2022</c:v>
                </c:pt>
                <c:pt idx="94">
                  <c:v>2023</c:v>
                </c:pt>
                <c:pt idx="95">
                  <c:v>2023</c:v>
                </c:pt>
                <c:pt idx="96">
                  <c:v>2023</c:v>
                </c:pt>
                <c:pt idx="97">
                  <c:v>2023</c:v>
                </c:pt>
                <c:pt idx="98">
                  <c:v>2023</c:v>
                </c:pt>
                <c:pt idx="99">
                  <c:v>2023</c:v>
                </c:pt>
                <c:pt idx="100">
                  <c:v>2023</c:v>
                </c:pt>
                <c:pt idx="101">
                  <c:v>2023</c:v>
                </c:pt>
                <c:pt idx="102">
                  <c:v>2023</c:v>
                </c:pt>
                <c:pt idx="103">
                  <c:v>2023</c:v>
                </c:pt>
                <c:pt idx="104">
                  <c:v>2023</c:v>
                </c:pt>
                <c:pt idx="105">
                  <c:v>2023</c:v>
                </c:pt>
                <c:pt idx="106">
                  <c:v>2024</c:v>
                </c:pt>
                <c:pt idx="107">
                  <c:v>2024</c:v>
                </c:pt>
                <c:pt idx="108">
                  <c:v>2024</c:v>
                </c:pt>
                <c:pt idx="109">
                  <c:v>2024</c:v>
                </c:pt>
                <c:pt idx="110">
                  <c:v>2024</c:v>
                </c:pt>
                <c:pt idx="111">
                  <c:v>2024</c:v>
                </c:pt>
                <c:pt idx="112">
                  <c:v>2024</c:v>
                </c:pt>
                <c:pt idx="113">
                  <c:v>2024</c:v>
                </c:pt>
                <c:pt idx="114">
                  <c:v>2024</c:v>
                </c:pt>
                <c:pt idx="115">
                  <c:v>2024</c:v>
                </c:pt>
                <c:pt idx="116">
                  <c:v>2024</c:v>
                </c:pt>
                <c:pt idx="117">
                  <c:v>2024</c:v>
                </c:pt>
                <c:pt idx="118">
                  <c:v>2025</c:v>
                </c:pt>
                <c:pt idx="119">
                  <c:v>2025</c:v>
                </c:pt>
                <c:pt idx="120">
                  <c:v>2025</c:v>
                </c:pt>
                <c:pt idx="121">
                  <c:v>2025</c:v>
                </c:pt>
                <c:pt idx="122">
                  <c:v>2025</c:v>
                </c:pt>
                <c:pt idx="123">
                  <c:v>2025</c:v>
                </c:pt>
                <c:pt idx="124">
                  <c:v>2025</c:v>
                </c:pt>
                <c:pt idx="125">
                  <c:v>2025</c:v>
                </c:pt>
                <c:pt idx="126">
                  <c:v>2025</c:v>
                </c:pt>
                <c:pt idx="127">
                  <c:v>2025</c:v>
                </c:pt>
                <c:pt idx="128">
                  <c:v>2025</c:v>
                </c:pt>
                <c:pt idx="129">
                  <c:v>2025</c:v>
                </c:pt>
                <c:pt idx="130">
                  <c:v>2026</c:v>
                </c:pt>
                <c:pt idx="131">
                  <c:v>2026</c:v>
                </c:pt>
                <c:pt idx="132">
                  <c:v>2026</c:v>
                </c:pt>
                <c:pt idx="133">
                  <c:v>2026</c:v>
                </c:pt>
                <c:pt idx="134">
                  <c:v>2026</c:v>
                </c:pt>
                <c:pt idx="135">
                  <c:v>2026</c:v>
                </c:pt>
                <c:pt idx="136">
                  <c:v>2026</c:v>
                </c:pt>
                <c:pt idx="137">
                  <c:v>2026</c:v>
                </c:pt>
                <c:pt idx="138">
                  <c:v>2026</c:v>
                </c:pt>
                <c:pt idx="139">
                  <c:v>2026</c:v>
                </c:pt>
                <c:pt idx="140">
                  <c:v>2026</c:v>
                </c:pt>
                <c:pt idx="141">
                  <c:v>2026</c:v>
                </c:pt>
                <c:pt idx="142">
                  <c:v>2027</c:v>
                </c:pt>
                <c:pt idx="143">
                  <c:v>2027</c:v>
                </c:pt>
                <c:pt idx="144">
                  <c:v>2027</c:v>
                </c:pt>
                <c:pt idx="145">
                  <c:v>2027</c:v>
                </c:pt>
                <c:pt idx="146">
                  <c:v>2027</c:v>
                </c:pt>
                <c:pt idx="147">
                  <c:v>2027</c:v>
                </c:pt>
                <c:pt idx="148">
                  <c:v>2027</c:v>
                </c:pt>
                <c:pt idx="149">
                  <c:v>2027</c:v>
                </c:pt>
                <c:pt idx="150">
                  <c:v>2027</c:v>
                </c:pt>
                <c:pt idx="151">
                  <c:v>2027</c:v>
                </c:pt>
                <c:pt idx="152">
                  <c:v>2027</c:v>
                </c:pt>
                <c:pt idx="153">
                  <c:v>2027</c:v>
                </c:pt>
                <c:pt idx="154">
                  <c:v>2028</c:v>
                </c:pt>
                <c:pt idx="155">
                  <c:v>2028</c:v>
                </c:pt>
                <c:pt idx="156">
                  <c:v>2028</c:v>
                </c:pt>
                <c:pt idx="157">
                  <c:v>2028</c:v>
                </c:pt>
                <c:pt idx="158">
                  <c:v>2028</c:v>
                </c:pt>
                <c:pt idx="159">
                  <c:v>2028</c:v>
                </c:pt>
                <c:pt idx="160">
                  <c:v>2028</c:v>
                </c:pt>
                <c:pt idx="161">
                  <c:v>2028</c:v>
                </c:pt>
                <c:pt idx="162">
                  <c:v>2028</c:v>
                </c:pt>
                <c:pt idx="163">
                  <c:v>2028</c:v>
                </c:pt>
                <c:pt idx="164">
                  <c:v>2028</c:v>
                </c:pt>
                <c:pt idx="165">
                  <c:v>2028</c:v>
                </c:pt>
                <c:pt idx="166">
                  <c:v>2029</c:v>
                </c:pt>
                <c:pt idx="167">
                  <c:v>2029</c:v>
                </c:pt>
                <c:pt idx="168">
                  <c:v>2029</c:v>
                </c:pt>
                <c:pt idx="169">
                  <c:v>2029</c:v>
                </c:pt>
                <c:pt idx="170">
                  <c:v>2029</c:v>
                </c:pt>
                <c:pt idx="171">
                  <c:v>2029</c:v>
                </c:pt>
                <c:pt idx="172">
                  <c:v>2029</c:v>
                </c:pt>
                <c:pt idx="173">
                  <c:v>2029</c:v>
                </c:pt>
                <c:pt idx="174">
                  <c:v>2029</c:v>
                </c:pt>
                <c:pt idx="175">
                  <c:v>2029</c:v>
                </c:pt>
                <c:pt idx="176">
                  <c:v>2029</c:v>
                </c:pt>
                <c:pt idx="177">
                  <c:v>2029</c:v>
                </c:pt>
                <c:pt idx="178">
                  <c:v>2030</c:v>
                </c:pt>
                <c:pt idx="179">
                  <c:v>2030</c:v>
                </c:pt>
                <c:pt idx="180">
                  <c:v>2030</c:v>
                </c:pt>
                <c:pt idx="181">
                  <c:v>2030</c:v>
                </c:pt>
                <c:pt idx="182">
                  <c:v>2030</c:v>
                </c:pt>
                <c:pt idx="183">
                  <c:v>2030</c:v>
                </c:pt>
                <c:pt idx="184">
                  <c:v>2030</c:v>
                </c:pt>
                <c:pt idx="185">
                  <c:v>2030</c:v>
                </c:pt>
                <c:pt idx="186">
                  <c:v>2030</c:v>
                </c:pt>
                <c:pt idx="187">
                  <c:v>2030</c:v>
                </c:pt>
                <c:pt idx="188">
                  <c:v>2030</c:v>
                </c:pt>
                <c:pt idx="189">
                  <c:v>2030</c:v>
                </c:pt>
                <c:pt idx="190">
                  <c:v>2031</c:v>
                </c:pt>
                <c:pt idx="191">
                  <c:v>2031</c:v>
                </c:pt>
                <c:pt idx="192">
                  <c:v>2031</c:v>
                </c:pt>
                <c:pt idx="193">
                  <c:v>2031</c:v>
                </c:pt>
                <c:pt idx="194">
                  <c:v>2031</c:v>
                </c:pt>
                <c:pt idx="195">
                  <c:v>2031</c:v>
                </c:pt>
                <c:pt idx="196">
                  <c:v>2031</c:v>
                </c:pt>
                <c:pt idx="197">
                  <c:v>2031</c:v>
                </c:pt>
                <c:pt idx="198">
                  <c:v>2031</c:v>
                </c:pt>
                <c:pt idx="199">
                  <c:v>2031</c:v>
                </c:pt>
                <c:pt idx="200">
                  <c:v>2031</c:v>
                </c:pt>
                <c:pt idx="201">
                  <c:v>2031</c:v>
                </c:pt>
                <c:pt idx="202">
                  <c:v>2032</c:v>
                </c:pt>
                <c:pt idx="203">
                  <c:v>2032</c:v>
                </c:pt>
                <c:pt idx="204">
                  <c:v>2032</c:v>
                </c:pt>
                <c:pt idx="205">
                  <c:v>2032</c:v>
                </c:pt>
                <c:pt idx="206">
                  <c:v>2032</c:v>
                </c:pt>
                <c:pt idx="207">
                  <c:v>2032</c:v>
                </c:pt>
                <c:pt idx="208">
                  <c:v>2032</c:v>
                </c:pt>
                <c:pt idx="209">
                  <c:v>2032</c:v>
                </c:pt>
                <c:pt idx="210">
                  <c:v>2032</c:v>
                </c:pt>
                <c:pt idx="211">
                  <c:v>2032</c:v>
                </c:pt>
                <c:pt idx="212">
                  <c:v>2032</c:v>
                </c:pt>
                <c:pt idx="213">
                  <c:v>2032</c:v>
                </c:pt>
                <c:pt idx="214">
                  <c:v>2033</c:v>
                </c:pt>
                <c:pt idx="215">
                  <c:v>2033</c:v>
                </c:pt>
                <c:pt idx="216">
                  <c:v>2033</c:v>
                </c:pt>
                <c:pt idx="217">
                  <c:v>2033</c:v>
                </c:pt>
                <c:pt idx="218">
                  <c:v>2033</c:v>
                </c:pt>
                <c:pt idx="219">
                  <c:v>2033</c:v>
                </c:pt>
                <c:pt idx="220">
                  <c:v>2033</c:v>
                </c:pt>
                <c:pt idx="221">
                  <c:v>2033</c:v>
                </c:pt>
                <c:pt idx="222">
                  <c:v>2033</c:v>
                </c:pt>
                <c:pt idx="223">
                  <c:v>2033</c:v>
                </c:pt>
                <c:pt idx="224">
                  <c:v>2033</c:v>
                </c:pt>
                <c:pt idx="225">
                  <c:v>2033</c:v>
                </c:pt>
                <c:pt idx="226">
                  <c:v>2034</c:v>
                </c:pt>
                <c:pt idx="227">
                  <c:v>2034</c:v>
                </c:pt>
                <c:pt idx="228">
                  <c:v>2034</c:v>
                </c:pt>
                <c:pt idx="229">
                  <c:v>2034</c:v>
                </c:pt>
                <c:pt idx="230">
                  <c:v>2034</c:v>
                </c:pt>
                <c:pt idx="231">
                  <c:v>2034</c:v>
                </c:pt>
                <c:pt idx="232">
                  <c:v>2034</c:v>
                </c:pt>
                <c:pt idx="233">
                  <c:v>2034</c:v>
                </c:pt>
                <c:pt idx="234">
                  <c:v>2034</c:v>
                </c:pt>
                <c:pt idx="235">
                  <c:v>2034</c:v>
                </c:pt>
                <c:pt idx="236">
                  <c:v>2034</c:v>
                </c:pt>
                <c:pt idx="237">
                  <c:v>2034</c:v>
                </c:pt>
                <c:pt idx="238">
                  <c:v>2035</c:v>
                </c:pt>
                <c:pt idx="239">
                  <c:v>2035</c:v>
                </c:pt>
                <c:pt idx="240">
                  <c:v>2035</c:v>
                </c:pt>
                <c:pt idx="241">
                  <c:v>2035</c:v>
                </c:pt>
                <c:pt idx="242">
                  <c:v>2035</c:v>
                </c:pt>
                <c:pt idx="243">
                  <c:v>2035</c:v>
                </c:pt>
                <c:pt idx="244">
                  <c:v>2035</c:v>
                </c:pt>
                <c:pt idx="245">
                  <c:v>2035</c:v>
                </c:pt>
                <c:pt idx="246">
                  <c:v>2035</c:v>
                </c:pt>
                <c:pt idx="247">
                  <c:v>2035</c:v>
                </c:pt>
                <c:pt idx="248">
                  <c:v>2035</c:v>
                </c:pt>
                <c:pt idx="249">
                  <c:v>2035</c:v>
                </c:pt>
                <c:pt idx="250">
                  <c:v>2036</c:v>
                </c:pt>
                <c:pt idx="251">
                  <c:v>2036</c:v>
                </c:pt>
                <c:pt idx="252">
                  <c:v>2036</c:v>
                </c:pt>
                <c:pt idx="253">
                  <c:v>2036</c:v>
                </c:pt>
                <c:pt idx="254">
                  <c:v>2036</c:v>
                </c:pt>
                <c:pt idx="255">
                  <c:v>2036</c:v>
                </c:pt>
                <c:pt idx="256">
                  <c:v>2036</c:v>
                </c:pt>
                <c:pt idx="257">
                  <c:v>2036</c:v>
                </c:pt>
                <c:pt idx="258">
                  <c:v>2036</c:v>
                </c:pt>
                <c:pt idx="259">
                  <c:v>2036</c:v>
                </c:pt>
                <c:pt idx="260">
                  <c:v>2036</c:v>
                </c:pt>
                <c:pt idx="261">
                  <c:v>2036</c:v>
                </c:pt>
                <c:pt idx="262">
                  <c:v>2037</c:v>
                </c:pt>
                <c:pt idx="263">
                  <c:v>2037</c:v>
                </c:pt>
                <c:pt idx="264">
                  <c:v>2037</c:v>
                </c:pt>
                <c:pt idx="265">
                  <c:v>2037</c:v>
                </c:pt>
                <c:pt idx="266">
                  <c:v>2037</c:v>
                </c:pt>
                <c:pt idx="267">
                  <c:v>2037</c:v>
                </c:pt>
                <c:pt idx="268">
                  <c:v>2037</c:v>
                </c:pt>
                <c:pt idx="269">
                  <c:v>2037</c:v>
                </c:pt>
                <c:pt idx="270">
                  <c:v>2037</c:v>
                </c:pt>
                <c:pt idx="271">
                  <c:v>2037</c:v>
                </c:pt>
                <c:pt idx="272">
                  <c:v>2037</c:v>
                </c:pt>
                <c:pt idx="273">
                  <c:v>2037</c:v>
                </c:pt>
                <c:pt idx="274">
                  <c:v>2038</c:v>
                </c:pt>
                <c:pt idx="275">
                  <c:v>2038</c:v>
                </c:pt>
                <c:pt idx="276">
                  <c:v>2038</c:v>
                </c:pt>
                <c:pt idx="277">
                  <c:v>2038</c:v>
                </c:pt>
                <c:pt idx="278">
                  <c:v>2038</c:v>
                </c:pt>
                <c:pt idx="279">
                  <c:v>2038</c:v>
                </c:pt>
                <c:pt idx="280">
                  <c:v>2038</c:v>
                </c:pt>
                <c:pt idx="281">
                  <c:v>2038</c:v>
                </c:pt>
                <c:pt idx="282">
                  <c:v>2038</c:v>
                </c:pt>
                <c:pt idx="283">
                  <c:v>2038</c:v>
                </c:pt>
                <c:pt idx="284">
                  <c:v>2038</c:v>
                </c:pt>
                <c:pt idx="285">
                  <c:v>2038</c:v>
                </c:pt>
                <c:pt idx="286">
                  <c:v>2039</c:v>
                </c:pt>
                <c:pt idx="287">
                  <c:v>2039</c:v>
                </c:pt>
                <c:pt idx="288">
                  <c:v>2039</c:v>
                </c:pt>
                <c:pt idx="289">
                  <c:v>2039</c:v>
                </c:pt>
                <c:pt idx="290">
                  <c:v>2039</c:v>
                </c:pt>
                <c:pt idx="291">
                  <c:v>2039</c:v>
                </c:pt>
                <c:pt idx="292">
                  <c:v>2039</c:v>
                </c:pt>
                <c:pt idx="293">
                  <c:v>2039</c:v>
                </c:pt>
                <c:pt idx="294">
                  <c:v>2039</c:v>
                </c:pt>
                <c:pt idx="295">
                  <c:v>2039</c:v>
                </c:pt>
                <c:pt idx="296">
                  <c:v>2039</c:v>
                </c:pt>
                <c:pt idx="297">
                  <c:v>2039</c:v>
                </c:pt>
                <c:pt idx="298">
                  <c:v>2040</c:v>
                </c:pt>
                <c:pt idx="299">
                  <c:v>2040</c:v>
                </c:pt>
                <c:pt idx="300">
                  <c:v>2040</c:v>
                </c:pt>
              </c:numCache>
            </c:numRef>
          </c:cat>
          <c:val>
            <c:numRef>
              <c:f>JIN_CEA_01!$E$10:$E$314</c:f>
              <c:numCache>
                <c:formatCode>General</c:formatCode>
                <c:ptCount val="305"/>
                <c:pt idx="0">
                  <c:v>0</c:v>
                </c:pt>
                <c:pt idx="1">
                  <c:v>0.29370000000000002</c:v>
                </c:pt>
                <c:pt idx="2">
                  <c:v>0.29370000000000002</c:v>
                </c:pt>
                <c:pt idx="3">
                  <c:v>0.29370000000000002</c:v>
                </c:pt>
                <c:pt idx="4">
                  <c:v>0.293701364803579</c:v>
                </c:pt>
                <c:pt idx="5">
                  <c:v>0.29371507892107002</c:v>
                </c:pt>
                <c:pt idx="6">
                  <c:v>0.29378090506286902</c:v>
                </c:pt>
                <c:pt idx="7">
                  <c:v>0.29402843938949802</c:v>
                </c:pt>
                <c:pt idx="8">
                  <c:v>0.29562508224311501</c:v>
                </c:pt>
                <c:pt idx="9">
                  <c:v>0.30159133008880001</c:v>
                </c:pt>
                <c:pt idx="10">
                  <c:v>0.32685638341301998</c:v>
                </c:pt>
                <c:pt idx="11">
                  <c:v>0.38228505613943797</c:v>
                </c:pt>
                <c:pt idx="12">
                  <c:v>0.50340810451344598</c:v>
                </c:pt>
                <c:pt idx="13">
                  <c:v>0.672824487014129</c:v>
                </c:pt>
                <c:pt idx="14">
                  <c:v>0.91569334064642205</c:v>
                </c:pt>
                <c:pt idx="15">
                  <c:v>1.2288265610168501</c:v>
                </c:pt>
                <c:pt idx="16">
                  <c:v>1.6472107237772899</c:v>
                </c:pt>
                <c:pt idx="17">
                  <c:v>2.1669268907777699</c:v>
                </c:pt>
                <c:pt idx="18">
                  <c:v>2.75148660089959</c:v>
                </c:pt>
                <c:pt idx="19">
                  <c:v>3.6864390024879099</c:v>
                </c:pt>
                <c:pt idx="20">
                  <c:v>4.4770455417154098</c:v>
                </c:pt>
                <c:pt idx="21">
                  <c:v>5.3800081003911604</c:v>
                </c:pt>
                <c:pt idx="22">
                  <c:v>6.0147486388462701</c:v>
                </c:pt>
                <c:pt idx="23">
                  <c:v>6.6180652571842504</c:v>
                </c:pt>
                <c:pt idx="24">
                  <c:v>7.31752368599716</c:v>
                </c:pt>
                <c:pt idx="25">
                  <c:v>8.0241923491864693</c:v>
                </c:pt>
                <c:pt idx="26">
                  <c:v>8.7832953147684005</c:v>
                </c:pt>
                <c:pt idx="27">
                  <c:v>9.9212419539848096</c:v>
                </c:pt>
                <c:pt idx="28">
                  <c:v>11.1437064323187</c:v>
                </c:pt>
                <c:pt idx="29">
                  <c:v>12.414587075194699</c:v>
                </c:pt>
                <c:pt idx="30">
                  <c:v>13.684999846967401</c:v>
                </c:pt>
                <c:pt idx="31">
                  <c:v>14.598886830620399</c:v>
                </c:pt>
                <c:pt idx="32">
                  <c:v>15.469986506778699</c:v>
                </c:pt>
                <c:pt idx="33">
                  <c:v>16.383152188409099</c:v>
                </c:pt>
                <c:pt idx="34">
                  <c:v>17.308160419831701</c:v>
                </c:pt>
                <c:pt idx="35">
                  <c:v>18.570293146352501</c:v>
                </c:pt>
                <c:pt idx="36">
                  <c:v>19.9946915077828</c:v>
                </c:pt>
                <c:pt idx="37">
                  <c:v>21.376824526442299</c:v>
                </c:pt>
                <c:pt idx="38">
                  <c:v>22.816703354998101</c:v>
                </c:pt>
                <c:pt idx="39">
                  <c:v>23.762359455063699</c:v>
                </c:pt>
                <c:pt idx="40">
                  <c:v>24.730595217812599</c:v>
                </c:pt>
                <c:pt idx="41">
                  <c:v>25.701161076848202</c:v>
                </c:pt>
                <c:pt idx="42">
                  <c:v>26.6359519465801</c:v>
                </c:pt>
                <c:pt idx="43">
                  <c:v>28.078113011611801</c:v>
                </c:pt>
                <c:pt idx="44">
                  <c:v>29.4810389475475</c:v>
                </c:pt>
                <c:pt idx="45">
                  <c:v>30.928520061422802</c:v>
                </c:pt>
                <c:pt idx="46">
                  <c:v>32.366925047574298</c:v>
                </c:pt>
                <c:pt idx="47">
                  <c:v>33.240539620305199</c:v>
                </c:pt>
                <c:pt idx="48">
                  <c:v>34.192207447048702</c:v>
                </c:pt>
                <c:pt idx="49">
                  <c:v>35.110064551962203</c:v>
                </c:pt>
                <c:pt idx="50">
                  <c:v>36.054945684912603</c:v>
                </c:pt>
                <c:pt idx="51">
                  <c:v>36.965577056682299</c:v>
                </c:pt>
                <c:pt idx="52">
                  <c:v>37.898691491090297</c:v>
                </c:pt>
                <c:pt idx="53">
                  <c:v>38.827024282165901</c:v>
                </c:pt>
                <c:pt idx="54">
                  <c:v>39.720855754446802</c:v>
                </c:pt>
                <c:pt idx="55">
                  <c:v>40.191953824322297</c:v>
                </c:pt>
                <c:pt idx="56">
                  <c:v>40.635850133845203</c:v>
                </c:pt>
                <c:pt idx="57">
                  <c:v>41.093255725014998</c:v>
                </c:pt>
                <c:pt idx="58">
                  <c:v>41.549328107079198</c:v>
                </c:pt>
                <c:pt idx="59">
                  <c:v>41.974748289092503</c:v>
                </c:pt>
                <c:pt idx="60">
                  <c:v>42.428173322014402</c:v>
                </c:pt>
                <c:pt idx="61">
                  <c:v>42.861831488838497</c:v>
                </c:pt>
                <c:pt idx="62">
                  <c:v>43.308424158686897</c:v>
                </c:pt>
                <c:pt idx="63">
                  <c:v>44.154433524527398</c:v>
                </c:pt>
                <c:pt idx="64">
                  <c:v>45.037756087622299</c:v>
                </c:pt>
                <c:pt idx="65">
                  <c:v>45.915105920359402</c:v>
                </c:pt>
                <c:pt idx="66">
                  <c:v>46.758358652111603</c:v>
                </c:pt>
                <c:pt idx="67">
                  <c:v>47.623631548876403</c:v>
                </c:pt>
                <c:pt idx="68">
                  <c:v>48.452891085671403</c:v>
                </c:pt>
                <c:pt idx="69">
                  <c:v>49.3035565994671</c:v>
                </c:pt>
                <c:pt idx="70">
                  <c:v>50.147816410838601</c:v>
                </c:pt>
                <c:pt idx="71">
                  <c:v>50.904819094812702</c:v>
                </c:pt>
                <c:pt idx="72">
                  <c:v>51.736733891889301</c:v>
                </c:pt>
                <c:pt idx="73">
                  <c:v>52.535576500259801</c:v>
                </c:pt>
                <c:pt idx="74">
                  <c:v>53.352905580803402</c:v>
                </c:pt>
                <c:pt idx="75">
                  <c:v>53.762309610240301</c:v>
                </c:pt>
                <c:pt idx="76">
                  <c:v>54.166780519238202</c:v>
                </c:pt>
                <c:pt idx="77">
                  <c:v>54.569598029483501</c:v>
                </c:pt>
                <c:pt idx="78">
                  <c:v>54.957845510260299</c:v>
                </c:pt>
                <c:pt idx="79">
                  <c:v>55.357404785526199</c:v>
                </c:pt>
                <c:pt idx="80">
                  <c:v>55.742496895834201</c:v>
                </c:pt>
                <c:pt idx="81">
                  <c:v>56.138794009243099</c:v>
                </c:pt>
                <c:pt idx="82">
                  <c:v>56.533432667947203</c:v>
                </c:pt>
                <c:pt idx="83">
                  <c:v>56.8884550195705</c:v>
                </c:pt>
                <c:pt idx="84">
                  <c:v>57.279937580007598</c:v>
                </c:pt>
                <c:pt idx="85">
                  <c:v>57.656554674015801</c:v>
                </c:pt>
                <c:pt idx="86">
                  <c:v>58.044050079652799</c:v>
                </c:pt>
                <c:pt idx="87">
                  <c:v>58.417472356771398</c:v>
                </c:pt>
                <c:pt idx="88">
                  <c:v>58.801717746404897</c:v>
                </c:pt>
                <c:pt idx="89">
                  <c:v>59.184313917059796</c:v>
                </c:pt>
                <c:pt idx="90">
                  <c:v>59.552999859273299</c:v>
                </c:pt>
                <c:pt idx="91">
                  <c:v>59.9323567934983</c:v>
                </c:pt>
                <c:pt idx="92">
                  <c:v>60.297912359419897</c:v>
                </c:pt>
                <c:pt idx="93">
                  <c:v>60.6740395266009</c:v>
                </c:pt>
                <c:pt idx="94">
                  <c:v>61.048529510906498</c:v>
                </c:pt>
                <c:pt idx="95">
                  <c:v>61.385373902193997</c:v>
                </c:pt>
                <c:pt idx="96">
                  <c:v>61.756756662693299</c:v>
                </c:pt>
                <c:pt idx="97">
                  <c:v>62.114065936679701</c:v>
                </c:pt>
                <c:pt idx="98">
                  <c:v>62.481650007529197</c:v>
                </c:pt>
                <c:pt idx="99">
                  <c:v>62.835836236348499</c:v>
                </c:pt>
                <c:pt idx="100">
                  <c:v>63.200240909410503</c:v>
                </c:pt>
                <c:pt idx="101">
                  <c:v>63.563035883174301</c:v>
                </c:pt>
                <c:pt idx="102">
                  <c:v>63.912599185517799</c:v>
                </c:pt>
                <c:pt idx="103">
                  <c:v>64.272239354518504</c:v>
                </c:pt>
                <c:pt idx="104">
                  <c:v>64.618758061561394</c:v>
                </c:pt>
                <c:pt idx="105">
                  <c:v>64.975261136761105</c:v>
                </c:pt>
                <c:pt idx="106">
                  <c:v>65.677824402071494</c:v>
                </c:pt>
                <c:pt idx="107">
                  <c:v>66.334263990588198</c:v>
                </c:pt>
                <c:pt idx="108">
                  <c:v>67.029397457252102</c:v>
                </c:pt>
                <c:pt idx="109">
                  <c:v>67.6961872475338</c:v>
                </c:pt>
                <c:pt idx="110">
                  <c:v>68.379129658273897</c:v>
                </c:pt>
                <c:pt idx="111">
                  <c:v>69.034206891485397</c:v>
                </c:pt>
                <c:pt idx="112">
                  <c:v>69.705136837541104</c:v>
                </c:pt>
                <c:pt idx="113">
                  <c:v>70.369627433194097</c:v>
                </c:pt>
                <c:pt idx="114">
                  <c:v>71.006570989777202</c:v>
                </c:pt>
                <c:pt idx="115">
                  <c:v>71.658914174188595</c:v>
                </c:pt>
                <c:pt idx="116">
                  <c:v>72.284617706156595</c:v>
                </c:pt>
                <c:pt idx="117">
                  <c:v>72.9228729170881</c:v>
                </c:pt>
                <c:pt idx="118">
                  <c:v>73.241129323312904</c:v>
                </c:pt>
                <c:pt idx="119">
                  <c:v>73.527351130514703</c:v>
                </c:pt>
                <c:pt idx="120">
                  <c:v>73.842877639417296</c:v>
                </c:pt>
                <c:pt idx="121">
                  <c:v>74.146549439213999</c:v>
                </c:pt>
                <c:pt idx="122">
                  <c:v>74.458926123279596</c:v>
                </c:pt>
                <c:pt idx="123">
                  <c:v>74.759883430274598</c:v>
                </c:pt>
                <c:pt idx="124">
                  <c:v>75.069491655703004</c:v>
                </c:pt>
                <c:pt idx="125">
                  <c:v>75.377702847146793</c:v>
                </c:pt>
                <c:pt idx="126">
                  <c:v>75.674647874021304</c:v>
                </c:pt>
                <c:pt idx="127">
                  <c:v>75.980129587430099</c:v>
                </c:pt>
                <c:pt idx="128">
                  <c:v>76.274445736491998</c:v>
                </c:pt>
                <c:pt idx="129">
                  <c:v>76.577223931957306</c:v>
                </c:pt>
                <c:pt idx="130">
                  <c:v>76.8786381771084</c:v>
                </c:pt>
                <c:pt idx="131">
                  <c:v>77.149716551472295</c:v>
                </c:pt>
                <c:pt idx="132">
                  <c:v>77.448553474886197</c:v>
                </c:pt>
                <c:pt idx="133">
                  <c:v>77.736198717233094</c:v>
                </c:pt>
                <c:pt idx="134">
                  <c:v>78.032097119663305</c:v>
                </c:pt>
                <c:pt idx="135">
                  <c:v>78.317184173032302</c:v>
                </c:pt>
                <c:pt idx="136">
                  <c:v>78.610472223415101</c:v>
                </c:pt>
                <c:pt idx="137">
                  <c:v>78.902443672743402</c:v>
                </c:pt>
                <c:pt idx="138">
                  <c:v>79.183749432570195</c:v>
                </c:pt>
                <c:pt idx="139">
                  <c:v>79.473149749211203</c:v>
                </c:pt>
                <c:pt idx="140">
                  <c:v>79.751979877689095</c:v>
                </c:pt>
                <c:pt idx="141">
                  <c:v>80.038835007541806</c:v>
                </c:pt>
                <c:pt idx="142">
                  <c:v>80.324406604309502</c:v>
                </c:pt>
                <c:pt idx="143">
                  <c:v>80.5812445672575</c:v>
                </c:pt>
                <c:pt idx="144">
                  <c:v>80.864391738527601</c:v>
                </c:pt>
                <c:pt idx="145">
                  <c:v>81.1369692242979</c:v>
                </c:pt>
                <c:pt idx="146">
                  <c:v>81.4173791719235</c:v>
                </c:pt>
                <c:pt idx="147">
                  <c:v>81.687553401604006</c:v>
                </c:pt>
                <c:pt idx="148">
                  <c:v>81.965509955669305</c:v>
                </c:pt>
                <c:pt idx="149">
                  <c:v>82.2422294862684</c:v>
                </c:pt>
                <c:pt idx="150">
                  <c:v>82.508850958915701</c:v>
                </c:pt>
                <c:pt idx="151">
                  <c:v>82.783155517688797</c:v>
                </c:pt>
                <c:pt idx="152">
                  <c:v>83.047452184101104</c:v>
                </c:pt>
                <c:pt idx="153">
                  <c:v>83.319367079950496</c:v>
                </c:pt>
                <c:pt idx="154">
                  <c:v>83.590077209969493</c:v>
                </c:pt>
                <c:pt idx="155">
                  <c:v>83.842237227068495</c:v>
                </c:pt>
                <c:pt idx="156">
                  <c:v>84.110633939554106</c:v>
                </c:pt>
                <c:pt idx="157">
                  <c:v>84.369036934711303</c:v>
                </c:pt>
                <c:pt idx="158">
                  <c:v>84.6348864411638</c:v>
                </c:pt>
                <c:pt idx="159">
                  <c:v>84.891043972180597</c:v>
                </c:pt>
                <c:pt idx="160">
                  <c:v>85.154592894014598</c:v>
                </c:pt>
                <c:pt idx="161">
                  <c:v>85.416982092163195</c:v>
                </c:pt>
                <c:pt idx="162">
                  <c:v>85.669808865144205</c:v>
                </c:pt>
                <c:pt idx="163">
                  <c:v>85.929934460255893</c:v>
                </c:pt>
                <c:pt idx="164">
                  <c:v>86.180582425456194</c:v>
                </c:pt>
                <c:pt idx="165">
                  <c:v>86.438468706805494</c:v>
                </c:pt>
                <c:pt idx="166">
                  <c:v>86.695226223523903</c:v>
                </c:pt>
                <c:pt idx="167">
                  <c:v>86.926171197356794</c:v>
                </c:pt>
                <c:pt idx="168">
                  <c:v>87.180797522061795</c:v>
                </c:pt>
                <c:pt idx="169">
                  <c:v>87.425979980865307</c:v>
                </c:pt>
                <c:pt idx="170">
                  <c:v>87.678236224486795</c:v>
                </c:pt>
                <c:pt idx="171">
                  <c:v>87.921309670286206</c:v>
                </c:pt>
                <c:pt idx="172">
                  <c:v>88.171411117014401</c:v>
                </c:pt>
                <c:pt idx="173">
                  <c:v>88.420426474835693</c:v>
                </c:pt>
                <c:pt idx="174">
                  <c:v>88.660380638650295</c:v>
                </c:pt>
                <c:pt idx="175">
                  <c:v>88.907276375288504</c:v>
                </c:pt>
                <c:pt idx="176">
                  <c:v>89.145190475330807</c:v>
                </c:pt>
                <c:pt idx="177">
                  <c:v>89.389989647429601</c:v>
                </c:pt>
                <c:pt idx="178">
                  <c:v>89.633732119225897</c:v>
                </c:pt>
                <c:pt idx="179">
                  <c:v>89.852983236946798</c:v>
                </c:pt>
                <c:pt idx="180">
                  <c:v>90.094730763870203</c:v>
                </c:pt>
                <c:pt idx="181">
                  <c:v>90.3275402761316</c:v>
                </c:pt>
                <c:pt idx="182">
                  <c:v>90.567082339225905</c:v>
                </c:pt>
                <c:pt idx="183">
                  <c:v>90.797918701257998</c:v>
                </c:pt>
                <c:pt idx="184">
                  <c:v>91.035444025625196</c:v>
                </c:pt>
                <c:pt idx="185">
                  <c:v>91.271952917111406</c:v>
                </c:pt>
                <c:pt idx="186">
                  <c:v>91.499870048168702</c:v>
                </c:pt>
                <c:pt idx="187">
                  <c:v>91.734395381778199</c:v>
                </c:pt>
                <c:pt idx="188">
                  <c:v>91.960403476967599</c:v>
                </c:pt>
                <c:pt idx="189">
                  <c:v>92.192966970929405</c:v>
                </c:pt>
                <c:pt idx="190">
                  <c:v>92.424541715078803</c:v>
                </c:pt>
                <c:pt idx="191">
                  <c:v>92.632860741411804</c:v>
                </c:pt>
                <c:pt idx="192">
                  <c:v>92.862568899456804</c:v>
                </c:pt>
                <c:pt idx="193">
                  <c:v>93.0838102505232</c:v>
                </c:pt>
                <c:pt idx="194">
                  <c:v>93.311465376399994</c:v>
                </c:pt>
                <c:pt idx="195">
                  <c:v>93.530861228163104</c:v>
                </c:pt>
                <c:pt idx="196">
                  <c:v>93.756629425086004</c:v>
                </c:pt>
                <c:pt idx="197">
                  <c:v>93.981446633931299</c:v>
                </c:pt>
                <c:pt idx="198">
                  <c:v>94.198111212362605</c:v>
                </c:pt>
                <c:pt idx="199">
                  <c:v>94.421072608567101</c:v>
                </c:pt>
                <c:pt idx="200">
                  <c:v>94.635951111966193</c:v>
                </c:pt>
                <c:pt idx="201">
                  <c:v>94.857077041997897</c:v>
                </c:pt>
                <c:pt idx="202">
                  <c:v>95.077277918811205</c:v>
                </c:pt>
                <c:pt idx="203">
                  <c:v>95.282439407355994</c:v>
                </c:pt>
                <c:pt idx="204">
                  <c:v>95.500864509019905</c:v>
                </c:pt>
                <c:pt idx="205">
                  <c:v>95.711258696161593</c:v>
                </c:pt>
                <c:pt idx="206">
                  <c:v>95.927771906962803</c:v>
                </c:pt>
                <c:pt idx="207">
                  <c:v>96.1364443437392</c:v>
                </c:pt>
                <c:pt idx="208">
                  <c:v>96.351192387101904</c:v>
                </c:pt>
                <c:pt idx="209">
                  <c:v>96.565050796658596</c:v>
                </c:pt>
                <c:pt idx="210">
                  <c:v>96.771168170545906</c:v>
                </c:pt>
                <c:pt idx="211">
                  <c:v>96.983290467094804</c:v>
                </c:pt>
                <c:pt idx="212">
                  <c:v>97.187736944824806</c:v>
                </c:pt>
                <c:pt idx="213">
                  <c:v>97.398142113141404</c:v>
                </c:pt>
                <c:pt idx="214">
                  <c:v>97.607681847019705</c:v>
                </c:pt>
                <c:pt idx="215">
                  <c:v>97.796203690012504</c:v>
                </c:pt>
                <c:pt idx="216">
                  <c:v>98.004109590543806</c:v>
                </c:pt>
                <c:pt idx="217">
                  <c:v>98.204397403091406</c:v>
                </c:pt>
                <c:pt idx="218">
                  <c:v>98.410521244304803</c:v>
                </c:pt>
                <c:pt idx="219">
                  <c:v>98.609194385525299</c:v>
                </c:pt>
                <c:pt idx="220">
                  <c:v>98.813666253067098</c:v>
                </c:pt>
                <c:pt idx="221">
                  <c:v>99.017305502395999</c:v>
                </c:pt>
                <c:pt idx="222">
                  <c:v>99.213587330972402</c:v>
                </c:pt>
                <c:pt idx="223">
                  <c:v>99.415601662590106</c:v>
                </c:pt>
                <c:pt idx="224">
                  <c:v>99.610319566244002</c:v>
                </c:pt>
                <c:pt idx="225">
                  <c:v>99.810726650424698</c:v>
                </c:pt>
                <c:pt idx="226">
                  <c:v>100.010323640341</c:v>
                </c:pt>
                <c:pt idx="227">
                  <c:v>100.189912227005</c:v>
                </c:pt>
                <c:pt idx="228">
                  <c:v>100.387979781361</c:v>
                </c:pt>
                <c:pt idx="229">
                  <c:v>100.57881014338599</c:v>
                </c:pt>
                <c:pt idx="230">
                  <c:v>100.77521526804399</c:v>
                </c:pt>
                <c:pt idx="231">
                  <c:v>100.964534290763</c:v>
                </c:pt>
                <c:pt idx="232">
                  <c:v>101.15939270952001</c:v>
                </c:pt>
                <c:pt idx="233">
                  <c:v>101.353471519614</c:v>
                </c:pt>
                <c:pt idx="234">
                  <c:v>101.54055147485801</c:v>
                </c:pt>
                <c:pt idx="235">
                  <c:v>101.733108724426</c:v>
                </c:pt>
                <c:pt idx="236">
                  <c:v>101.918724170099</c:v>
                </c:pt>
                <c:pt idx="237">
                  <c:v>102.10977627621099</c:v>
                </c:pt>
                <c:pt idx="238">
                  <c:v>102.300069700267</c:v>
                </c:pt>
                <c:pt idx="239">
                  <c:v>102.47129899043399</c:v>
                </c:pt>
                <c:pt idx="240">
                  <c:v>102.66015994711699</c:v>
                </c:pt>
                <c:pt idx="241">
                  <c:v>102.842138874567</c:v>
                </c:pt>
                <c:pt idx="242">
                  <c:v>103.029447585572</c:v>
                </c:pt>
                <c:pt idx="243">
                  <c:v>103.210011066229</c:v>
                </c:pt>
                <c:pt idx="244">
                  <c:v>103.395870808483</c:v>
                </c:pt>
                <c:pt idx="245">
                  <c:v>103.581000151013</c:v>
                </c:pt>
                <c:pt idx="246">
                  <c:v>103.759465894139</c:v>
                </c:pt>
                <c:pt idx="247">
                  <c:v>103.94316960755501</c:v>
                </c:pt>
                <c:pt idx="248">
                  <c:v>104.120263104489</c:v>
                </c:pt>
                <c:pt idx="249">
                  <c:v>104.302556423751</c:v>
                </c:pt>
                <c:pt idx="250">
                  <c:v>104.48413876314601</c:v>
                </c:pt>
                <c:pt idx="251">
                  <c:v>104.65336587856901</c:v>
                </c:pt>
                <c:pt idx="252">
                  <c:v>104.833583074912</c:v>
                </c:pt>
                <c:pt idx="253">
                  <c:v>105.007248000101</c:v>
                </c:pt>
                <c:pt idx="254">
                  <c:v>105.18601468135699</c:v>
                </c:pt>
                <c:pt idx="255">
                  <c:v>105.358355798396</c:v>
                </c:pt>
                <c:pt idx="256">
                  <c:v>105.53576440032499</c:v>
                </c:pt>
                <c:pt idx="257">
                  <c:v>105.71248835895101</c:v>
                </c:pt>
                <c:pt idx="258">
                  <c:v>105.88286315281201</c:v>
                </c:pt>
                <c:pt idx="259">
                  <c:v>106.058250674504</c:v>
                </c:pt>
                <c:pt idx="260">
                  <c:v>106.227338998786</c:v>
                </c:pt>
                <c:pt idx="261">
                  <c:v>106.40140420899201</c:v>
                </c:pt>
                <c:pt idx="262">
                  <c:v>106.574802781511</c:v>
                </c:pt>
                <c:pt idx="263">
                  <c:v>106.730850835593</c:v>
                </c:pt>
                <c:pt idx="264">
                  <c:v>106.902990516416</c:v>
                </c:pt>
                <c:pt idx="265">
                  <c:v>107.068889873431</c:v>
                </c:pt>
                <c:pt idx="266">
                  <c:v>107.23967250662901</c:v>
                </c:pt>
                <c:pt idx="267">
                  <c:v>107.404327906302</c:v>
                </c:pt>
                <c:pt idx="268">
                  <c:v>107.573836475128</c:v>
                </c:pt>
                <c:pt idx="269">
                  <c:v>107.742702693965</c:v>
                </c:pt>
                <c:pt idx="270">
                  <c:v>107.90551323874701</c:v>
                </c:pt>
                <c:pt idx="271">
                  <c:v>108.073125458295</c:v>
                </c:pt>
                <c:pt idx="272">
                  <c:v>108.234728811924</c:v>
                </c:pt>
                <c:pt idx="273">
                  <c:v>108.401100127578</c:v>
                </c:pt>
                <c:pt idx="274">
                  <c:v>108.566845785887</c:v>
                </c:pt>
                <c:pt idx="275">
                  <c:v>108.716016536583</c:v>
                </c:pt>
                <c:pt idx="276">
                  <c:v>108.88058057791601</c:v>
                </c:pt>
                <c:pt idx="277">
                  <c:v>109.03919353492</c:v>
                </c:pt>
                <c:pt idx="278">
                  <c:v>109.202486672951</c:v>
                </c:pt>
                <c:pt idx="279">
                  <c:v>109.359931968708</c:v>
                </c:pt>
                <c:pt idx="280">
                  <c:v>109.52202890498199</c:v>
                </c:pt>
                <c:pt idx="281">
                  <c:v>109.683522686887</c:v>
                </c:pt>
                <c:pt idx="282">
                  <c:v>109.839235699385</c:v>
                </c:pt>
                <c:pt idx="283">
                  <c:v>109.999551880846</c:v>
                </c:pt>
                <c:pt idx="284">
                  <c:v>110.154131172883</c:v>
                </c:pt>
                <c:pt idx="285">
                  <c:v>110.313281894095</c:v>
                </c:pt>
                <c:pt idx="286">
                  <c:v>110.471844936005</c:v>
                </c:pt>
                <c:pt idx="287">
                  <c:v>110.61456060384999</c:v>
                </c:pt>
                <c:pt idx="288">
                  <c:v>110.77201364238999</c:v>
                </c:pt>
                <c:pt idx="289">
                  <c:v>110.923786207036</c:v>
                </c:pt>
                <c:pt idx="290">
                  <c:v>111.080047786142</c:v>
                </c:pt>
                <c:pt idx="291">
                  <c:v>111.230723375938</c:v>
                </c:pt>
                <c:pt idx="292">
                  <c:v>111.38586091753599</c:v>
                </c:pt>
                <c:pt idx="293">
                  <c:v>111.540431632397</c:v>
                </c:pt>
                <c:pt idx="294">
                  <c:v>111.68947927362299</c:v>
                </c:pt>
                <c:pt idx="295">
                  <c:v>111.842943198009</c:v>
                </c:pt>
                <c:pt idx="296">
                  <c:v>111.990925215742</c:v>
                </c:pt>
                <c:pt idx="297">
                  <c:v>112.143293606565</c:v>
                </c:pt>
                <c:pt idx="298">
                  <c:v>112.29510951981101</c:v>
                </c:pt>
                <c:pt idx="299">
                  <c:v>112.43663322357401</c:v>
                </c:pt>
                <c:pt idx="300">
                  <c:v>112.58738791352501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42-4B56-8A45-BDC095EF6AE3}"/>
            </c:ext>
          </c:extLst>
        </c:ser>
        <c:ser>
          <c:idx val="1"/>
          <c:order val="1"/>
          <c:tx>
            <c:strRef>
              <c:f>JIN_CEA_01!$F$8</c:f>
              <c:strCache>
                <c:ptCount val="1"/>
                <c:pt idx="0">
                  <c:v>C mass of forest debris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JIN_CEA_01!$A$10:$A$314</c:f>
              <c:numCache>
                <c:formatCode>General</c:formatCode>
                <c:ptCount val="305"/>
                <c:pt idx="0">
                  <c:v>2015</c:v>
                </c:pt>
                <c:pt idx="1">
                  <c:v>2015</c:v>
                </c:pt>
                <c:pt idx="2">
                  <c:v>2015</c:v>
                </c:pt>
                <c:pt idx="3">
                  <c:v>2015</c:v>
                </c:pt>
                <c:pt idx="4">
                  <c:v>2015</c:v>
                </c:pt>
                <c:pt idx="5">
                  <c:v>2015</c:v>
                </c:pt>
                <c:pt idx="6">
                  <c:v>2015</c:v>
                </c:pt>
                <c:pt idx="7">
                  <c:v>2015</c:v>
                </c:pt>
                <c:pt idx="8">
                  <c:v>2015</c:v>
                </c:pt>
                <c:pt idx="9">
                  <c:v>2015</c:v>
                </c:pt>
                <c:pt idx="10">
                  <c:v>2016</c:v>
                </c:pt>
                <c:pt idx="11">
                  <c:v>2016</c:v>
                </c:pt>
                <c:pt idx="12">
                  <c:v>2016</c:v>
                </c:pt>
                <c:pt idx="13">
                  <c:v>2016</c:v>
                </c:pt>
                <c:pt idx="14">
                  <c:v>2016</c:v>
                </c:pt>
                <c:pt idx="15">
                  <c:v>2016</c:v>
                </c:pt>
                <c:pt idx="16">
                  <c:v>2016</c:v>
                </c:pt>
                <c:pt idx="17">
                  <c:v>2016</c:v>
                </c:pt>
                <c:pt idx="18">
                  <c:v>2016</c:v>
                </c:pt>
                <c:pt idx="19">
                  <c:v>2016</c:v>
                </c:pt>
                <c:pt idx="20">
                  <c:v>2016</c:v>
                </c:pt>
                <c:pt idx="21">
                  <c:v>2016</c:v>
                </c:pt>
                <c:pt idx="22">
                  <c:v>2017</c:v>
                </c:pt>
                <c:pt idx="23">
                  <c:v>2017</c:v>
                </c:pt>
                <c:pt idx="24">
                  <c:v>2017</c:v>
                </c:pt>
                <c:pt idx="25">
                  <c:v>2017</c:v>
                </c:pt>
                <c:pt idx="26">
                  <c:v>2017</c:v>
                </c:pt>
                <c:pt idx="27">
                  <c:v>2017</c:v>
                </c:pt>
                <c:pt idx="28">
                  <c:v>2017</c:v>
                </c:pt>
                <c:pt idx="29">
                  <c:v>2017</c:v>
                </c:pt>
                <c:pt idx="30">
                  <c:v>2017</c:v>
                </c:pt>
                <c:pt idx="31">
                  <c:v>2017</c:v>
                </c:pt>
                <c:pt idx="32">
                  <c:v>2017</c:v>
                </c:pt>
                <c:pt idx="33">
                  <c:v>2017</c:v>
                </c:pt>
                <c:pt idx="34">
                  <c:v>2018</c:v>
                </c:pt>
                <c:pt idx="35">
                  <c:v>2018</c:v>
                </c:pt>
                <c:pt idx="36">
                  <c:v>2018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2018</c:v>
                </c:pt>
                <c:pt idx="42">
                  <c:v>2018</c:v>
                </c:pt>
                <c:pt idx="43">
                  <c:v>2018</c:v>
                </c:pt>
                <c:pt idx="44">
                  <c:v>2018</c:v>
                </c:pt>
                <c:pt idx="45">
                  <c:v>2018</c:v>
                </c:pt>
                <c:pt idx="46">
                  <c:v>2019</c:v>
                </c:pt>
                <c:pt idx="47">
                  <c:v>2019</c:v>
                </c:pt>
                <c:pt idx="48">
                  <c:v>2019</c:v>
                </c:pt>
                <c:pt idx="49">
                  <c:v>2019</c:v>
                </c:pt>
                <c:pt idx="50">
                  <c:v>2019</c:v>
                </c:pt>
                <c:pt idx="51">
                  <c:v>2019</c:v>
                </c:pt>
                <c:pt idx="52">
                  <c:v>2019</c:v>
                </c:pt>
                <c:pt idx="53">
                  <c:v>2019</c:v>
                </c:pt>
                <c:pt idx="54">
                  <c:v>2019</c:v>
                </c:pt>
                <c:pt idx="55">
                  <c:v>2019</c:v>
                </c:pt>
                <c:pt idx="56">
                  <c:v>2019</c:v>
                </c:pt>
                <c:pt idx="57">
                  <c:v>2019</c:v>
                </c:pt>
                <c:pt idx="58">
                  <c:v>2020</c:v>
                </c:pt>
                <c:pt idx="59">
                  <c:v>2020</c:v>
                </c:pt>
                <c:pt idx="60">
                  <c:v>2020</c:v>
                </c:pt>
                <c:pt idx="61">
                  <c:v>2020</c:v>
                </c:pt>
                <c:pt idx="62">
                  <c:v>2020</c:v>
                </c:pt>
                <c:pt idx="63">
                  <c:v>2020</c:v>
                </c:pt>
                <c:pt idx="64">
                  <c:v>2020</c:v>
                </c:pt>
                <c:pt idx="65">
                  <c:v>2020</c:v>
                </c:pt>
                <c:pt idx="66">
                  <c:v>2020</c:v>
                </c:pt>
                <c:pt idx="67">
                  <c:v>2020</c:v>
                </c:pt>
                <c:pt idx="68">
                  <c:v>2020</c:v>
                </c:pt>
                <c:pt idx="69">
                  <c:v>2020</c:v>
                </c:pt>
                <c:pt idx="70">
                  <c:v>2021</c:v>
                </c:pt>
                <c:pt idx="71">
                  <c:v>2021</c:v>
                </c:pt>
                <c:pt idx="72">
                  <c:v>2021</c:v>
                </c:pt>
                <c:pt idx="73">
                  <c:v>2021</c:v>
                </c:pt>
                <c:pt idx="74">
                  <c:v>2021</c:v>
                </c:pt>
                <c:pt idx="75">
                  <c:v>2021</c:v>
                </c:pt>
                <c:pt idx="76">
                  <c:v>2021</c:v>
                </c:pt>
                <c:pt idx="77">
                  <c:v>2021</c:v>
                </c:pt>
                <c:pt idx="78">
                  <c:v>2021</c:v>
                </c:pt>
                <c:pt idx="79">
                  <c:v>2021</c:v>
                </c:pt>
                <c:pt idx="80">
                  <c:v>2021</c:v>
                </c:pt>
                <c:pt idx="81">
                  <c:v>2021</c:v>
                </c:pt>
                <c:pt idx="82">
                  <c:v>2022</c:v>
                </c:pt>
                <c:pt idx="83">
                  <c:v>2022</c:v>
                </c:pt>
                <c:pt idx="84">
                  <c:v>2022</c:v>
                </c:pt>
                <c:pt idx="85">
                  <c:v>2022</c:v>
                </c:pt>
                <c:pt idx="86">
                  <c:v>2022</c:v>
                </c:pt>
                <c:pt idx="87">
                  <c:v>2022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2022</c:v>
                </c:pt>
                <c:pt idx="92">
                  <c:v>2022</c:v>
                </c:pt>
                <c:pt idx="93">
                  <c:v>2022</c:v>
                </c:pt>
                <c:pt idx="94">
                  <c:v>2023</c:v>
                </c:pt>
                <c:pt idx="95">
                  <c:v>2023</c:v>
                </c:pt>
                <c:pt idx="96">
                  <c:v>2023</c:v>
                </c:pt>
                <c:pt idx="97">
                  <c:v>2023</c:v>
                </c:pt>
                <c:pt idx="98">
                  <c:v>2023</c:v>
                </c:pt>
                <c:pt idx="99">
                  <c:v>2023</c:v>
                </c:pt>
                <c:pt idx="100">
                  <c:v>2023</c:v>
                </c:pt>
                <c:pt idx="101">
                  <c:v>2023</c:v>
                </c:pt>
                <c:pt idx="102">
                  <c:v>2023</c:v>
                </c:pt>
                <c:pt idx="103">
                  <c:v>2023</c:v>
                </c:pt>
                <c:pt idx="104">
                  <c:v>2023</c:v>
                </c:pt>
                <c:pt idx="105">
                  <c:v>2023</c:v>
                </c:pt>
                <c:pt idx="106">
                  <c:v>2024</c:v>
                </c:pt>
                <c:pt idx="107">
                  <c:v>2024</c:v>
                </c:pt>
                <c:pt idx="108">
                  <c:v>2024</c:v>
                </c:pt>
                <c:pt idx="109">
                  <c:v>2024</c:v>
                </c:pt>
                <c:pt idx="110">
                  <c:v>2024</c:v>
                </c:pt>
                <c:pt idx="111">
                  <c:v>2024</c:v>
                </c:pt>
                <c:pt idx="112">
                  <c:v>2024</c:v>
                </c:pt>
                <c:pt idx="113">
                  <c:v>2024</c:v>
                </c:pt>
                <c:pt idx="114">
                  <c:v>2024</c:v>
                </c:pt>
                <c:pt idx="115">
                  <c:v>2024</c:v>
                </c:pt>
                <c:pt idx="116">
                  <c:v>2024</c:v>
                </c:pt>
                <c:pt idx="117">
                  <c:v>2024</c:v>
                </c:pt>
                <c:pt idx="118">
                  <c:v>2025</c:v>
                </c:pt>
                <c:pt idx="119">
                  <c:v>2025</c:v>
                </c:pt>
                <c:pt idx="120">
                  <c:v>2025</c:v>
                </c:pt>
                <c:pt idx="121">
                  <c:v>2025</c:v>
                </c:pt>
                <c:pt idx="122">
                  <c:v>2025</c:v>
                </c:pt>
                <c:pt idx="123">
                  <c:v>2025</c:v>
                </c:pt>
                <c:pt idx="124">
                  <c:v>2025</c:v>
                </c:pt>
                <c:pt idx="125">
                  <c:v>2025</c:v>
                </c:pt>
                <c:pt idx="126">
                  <c:v>2025</c:v>
                </c:pt>
                <c:pt idx="127">
                  <c:v>2025</c:v>
                </c:pt>
                <c:pt idx="128">
                  <c:v>2025</c:v>
                </c:pt>
                <c:pt idx="129">
                  <c:v>2025</c:v>
                </c:pt>
                <c:pt idx="130">
                  <c:v>2026</c:v>
                </c:pt>
                <c:pt idx="131">
                  <c:v>2026</c:v>
                </c:pt>
                <c:pt idx="132">
                  <c:v>2026</c:v>
                </c:pt>
                <c:pt idx="133">
                  <c:v>2026</c:v>
                </c:pt>
                <c:pt idx="134">
                  <c:v>2026</c:v>
                </c:pt>
                <c:pt idx="135">
                  <c:v>2026</c:v>
                </c:pt>
                <c:pt idx="136">
                  <c:v>2026</c:v>
                </c:pt>
                <c:pt idx="137">
                  <c:v>2026</c:v>
                </c:pt>
                <c:pt idx="138">
                  <c:v>2026</c:v>
                </c:pt>
                <c:pt idx="139">
                  <c:v>2026</c:v>
                </c:pt>
                <c:pt idx="140">
                  <c:v>2026</c:v>
                </c:pt>
                <c:pt idx="141">
                  <c:v>2026</c:v>
                </c:pt>
                <c:pt idx="142">
                  <c:v>2027</c:v>
                </c:pt>
                <c:pt idx="143">
                  <c:v>2027</c:v>
                </c:pt>
                <c:pt idx="144">
                  <c:v>2027</c:v>
                </c:pt>
                <c:pt idx="145">
                  <c:v>2027</c:v>
                </c:pt>
                <c:pt idx="146">
                  <c:v>2027</c:v>
                </c:pt>
                <c:pt idx="147">
                  <c:v>2027</c:v>
                </c:pt>
                <c:pt idx="148">
                  <c:v>2027</c:v>
                </c:pt>
                <c:pt idx="149">
                  <c:v>2027</c:v>
                </c:pt>
                <c:pt idx="150">
                  <c:v>2027</c:v>
                </c:pt>
                <c:pt idx="151">
                  <c:v>2027</c:v>
                </c:pt>
                <c:pt idx="152">
                  <c:v>2027</c:v>
                </c:pt>
                <c:pt idx="153">
                  <c:v>2027</c:v>
                </c:pt>
                <c:pt idx="154">
                  <c:v>2028</c:v>
                </c:pt>
                <c:pt idx="155">
                  <c:v>2028</c:v>
                </c:pt>
                <c:pt idx="156">
                  <c:v>2028</c:v>
                </c:pt>
                <c:pt idx="157">
                  <c:v>2028</c:v>
                </c:pt>
                <c:pt idx="158">
                  <c:v>2028</c:v>
                </c:pt>
                <c:pt idx="159">
                  <c:v>2028</c:v>
                </c:pt>
                <c:pt idx="160">
                  <c:v>2028</c:v>
                </c:pt>
                <c:pt idx="161">
                  <c:v>2028</c:v>
                </c:pt>
                <c:pt idx="162">
                  <c:v>2028</c:v>
                </c:pt>
                <c:pt idx="163">
                  <c:v>2028</c:v>
                </c:pt>
                <c:pt idx="164">
                  <c:v>2028</c:v>
                </c:pt>
                <c:pt idx="165">
                  <c:v>2028</c:v>
                </c:pt>
                <c:pt idx="166">
                  <c:v>2029</c:v>
                </c:pt>
                <c:pt idx="167">
                  <c:v>2029</c:v>
                </c:pt>
                <c:pt idx="168">
                  <c:v>2029</c:v>
                </c:pt>
                <c:pt idx="169">
                  <c:v>2029</c:v>
                </c:pt>
                <c:pt idx="170">
                  <c:v>2029</c:v>
                </c:pt>
                <c:pt idx="171">
                  <c:v>2029</c:v>
                </c:pt>
                <c:pt idx="172">
                  <c:v>2029</c:v>
                </c:pt>
                <c:pt idx="173">
                  <c:v>2029</c:v>
                </c:pt>
                <c:pt idx="174">
                  <c:v>2029</c:v>
                </c:pt>
                <c:pt idx="175">
                  <c:v>2029</c:v>
                </c:pt>
                <c:pt idx="176">
                  <c:v>2029</c:v>
                </c:pt>
                <c:pt idx="177">
                  <c:v>2029</c:v>
                </c:pt>
                <c:pt idx="178">
                  <c:v>2030</c:v>
                </c:pt>
                <c:pt idx="179">
                  <c:v>2030</c:v>
                </c:pt>
                <c:pt idx="180">
                  <c:v>2030</c:v>
                </c:pt>
                <c:pt idx="181">
                  <c:v>2030</c:v>
                </c:pt>
                <c:pt idx="182">
                  <c:v>2030</c:v>
                </c:pt>
                <c:pt idx="183">
                  <c:v>2030</c:v>
                </c:pt>
                <c:pt idx="184">
                  <c:v>2030</c:v>
                </c:pt>
                <c:pt idx="185">
                  <c:v>2030</c:v>
                </c:pt>
                <c:pt idx="186">
                  <c:v>2030</c:v>
                </c:pt>
                <c:pt idx="187">
                  <c:v>2030</c:v>
                </c:pt>
                <c:pt idx="188">
                  <c:v>2030</c:v>
                </c:pt>
                <c:pt idx="189">
                  <c:v>2030</c:v>
                </c:pt>
                <c:pt idx="190">
                  <c:v>2031</c:v>
                </c:pt>
                <c:pt idx="191">
                  <c:v>2031</c:v>
                </c:pt>
                <c:pt idx="192">
                  <c:v>2031</c:v>
                </c:pt>
                <c:pt idx="193">
                  <c:v>2031</c:v>
                </c:pt>
                <c:pt idx="194">
                  <c:v>2031</c:v>
                </c:pt>
                <c:pt idx="195">
                  <c:v>2031</c:v>
                </c:pt>
                <c:pt idx="196">
                  <c:v>2031</c:v>
                </c:pt>
                <c:pt idx="197">
                  <c:v>2031</c:v>
                </c:pt>
                <c:pt idx="198">
                  <c:v>2031</c:v>
                </c:pt>
                <c:pt idx="199">
                  <c:v>2031</c:v>
                </c:pt>
                <c:pt idx="200">
                  <c:v>2031</c:v>
                </c:pt>
                <c:pt idx="201">
                  <c:v>2031</c:v>
                </c:pt>
                <c:pt idx="202">
                  <c:v>2032</c:v>
                </c:pt>
                <c:pt idx="203">
                  <c:v>2032</c:v>
                </c:pt>
                <c:pt idx="204">
                  <c:v>2032</c:v>
                </c:pt>
                <c:pt idx="205">
                  <c:v>2032</c:v>
                </c:pt>
                <c:pt idx="206">
                  <c:v>2032</c:v>
                </c:pt>
                <c:pt idx="207">
                  <c:v>2032</c:v>
                </c:pt>
                <c:pt idx="208">
                  <c:v>2032</c:v>
                </c:pt>
                <c:pt idx="209">
                  <c:v>2032</c:v>
                </c:pt>
                <c:pt idx="210">
                  <c:v>2032</c:v>
                </c:pt>
                <c:pt idx="211">
                  <c:v>2032</c:v>
                </c:pt>
                <c:pt idx="212">
                  <c:v>2032</c:v>
                </c:pt>
                <c:pt idx="213">
                  <c:v>2032</c:v>
                </c:pt>
                <c:pt idx="214">
                  <c:v>2033</c:v>
                </c:pt>
                <c:pt idx="215">
                  <c:v>2033</c:v>
                </c:pt>
                <c:pt idx="216">
                  <c:v>2033</c:v>
                </c:pt>
                <c:pt idx="217">
                  <c:v>2033</c:v>
                </c:pt>
                <c:pt idx="218">
                  <c:v>2033</c:v>
                </c:pt>
                <c:pt idx="219">
                  <c:v>2033</c:v>
                </c:pt>
                <c:pt idx="220">
                  <c:v>2033</c:v>
                </c:pt>
                <c:pt idx="221">
                  <c:v>2033</c:v>
                </c:pt>
                <c:pt idx="222">
                  <c:v>2033</c:v>
                </c:pt>
                <c:pt idx="223">
                  <c:v>2033</c:v>
                </c:pt>
                <c:pt idx="224">
                  <c:v>2033</c:v>
                </c:pt>
                <c:pt idx="225">
                  <c:v>2033</c:v>
                </c:pt>
                <c:pt idx="226">
                  <c:v>2034</c:v>
                </c:pt>
                <c:pt idx="227">
                  <c:v>2034</c:v>
                </c:pt>
                <c:pt idx="228">
                  <c:v>2034</c:v>
                </c:pt>
                <c:pt idx="229">
                  <c:v>2034</c:v>
                </c:pt>
                <c:pt idx="230">
                  <c:v>2034</c:v>
                </c:pt>
                <c:pt idx="231">
                  <c:v>2034</c:v>
                </c:pt>
                <c:pt idx="232">
                  <c:v>2034</c:v>
                </c:pt>
                <c:pt idx="233">
                  <c:v>2034</c:v>
                </c:pt>
                <c:pt idx="234">
                  <c:v>2034</c:v>
                </c:pt>
                <c:pt idx="235">
                  <c:v>2034</c:v>
                </c:pt>
                <c:pt idx="236">
                  <c:v>2034</c:v>
                </c:pt>
                <c:pt idx="237">
                  <c:v>2034</c:v>
                </c:pt>
                <c:pt idx="238">
                  <c:v>2035</c:v>
                </c:pt>
                <c:pt idx="239">
                  <c:v>2035</c:v>
                </c:pt>
                <c:pt idx="240">
                  <c:v>2035</c:v>
                </c:pt>
                <c:pt idx="241">
                  <c:v>2035</c:v>
                </c:pt>
                <c:pt idx="242">
                  <c:v>2035</c:v>
                </c:pt>
                <c:pt idx="243">
                  <c:v>2035</c:v>
                </c:pt>
                <c:pt idx="244">
                  <c:v>2035</c:v>
                </c:pt>
                <c:pt idx="245">
                  <c:v>2035</c:v>
                </c:pt>
                <c:pt idx="246">
                  <c:v>2035</c:v>
                </c:pt>
                <c:pt idx="247">
                  <c:v>2035</c:v>
                </c:pt>
                <c:pt idx="248">
                  <c:v>2035</c:v>
                </c:pt>
                <c:pt idx="249">
                  <c:v>2035</c:v>
                </c:pt>
                <c:pt idx="250">
                  <c:v>2036</c:v>
                </c:pt>
                <c:pt idx="251">
                  <c:v>2036</c:v>
                </c:pt>
                <c:pt idx="252">
                  <c:v>2036</c:v>
                </c:pt>
                <c:pt idx="253">
                  <c:v>2036</c:v>
                </c:pt>
                <c:pt idx="254">
                  <c:v>2036</c:v>
                </c:pt>
                <c:pt idx="255">
                  <c:v>2036</c:v>
                </c:pt>
                <c:pt idx="256">
                  <c:v>2036</c:v>
                </c:pt>
                <c:pt idx="257">
                  <c:v>2036</c:v>
                </c:pt>
                <c:pt idx="258">
                  <c:v>2036</c:v>
                </c:pt>
                <c:pt idx="259">
                  <c:v>2036</c:v>
                </c:pt>
                <c:pt idx="260">
                  <c:v>2036</c:v>
                </c:pt>
                <c:pt idx="261">
                  <c:v>2036</c:v>
                </c:pt>
                <c:pt idx="262">
                  <c:v>2037</c:v>
                </c:pt>
                <c:pt idx="263">
                  <c:v>2037</c:v>
                </c:pt>
                <c:pt idx="264">
                  <c:v>2037</c:v>
                </c:pt>
                <c:pt idx="265">
                  <c:v>2037</c:v>
                </c:pt>
                <c:pt idx="266">
                  <c:v>2037</c:v>
                </c:pt>
                <c:pt idx="267">
                  <c:v>2037</c:v>
                </c:pt>
                <c:pt idx="268">
                  <c:v>2037</c:v>
                </c:pt>
                <c:pt idx="269">
                  <c:v>2037</c:v>
                </c:pt>
                <c:pt idx="270">
                  <c:v>2037</c:v>
                </c:pt>
                <c:pt idx="271">
                  <c:v>2037</c:v>
                </c:pt>
                <c:pt idx="272">
                  <c:v>2037</c:v>
                </c:pt>
                <c:pt idx="273">
                  <c:v>2037</c:v>
                </c:pt>
                <c:pt idx="274">
                  <c:v>2038</c:v>
                </c:pt>
                <c:pt idx="275">
                  <c:v>2038</c:v>
                </c:pt>
                <c:pt idx="276">
                  <c:v>2038</c:v>
                </c:pt>
                <c:pt idx="277">
                  <c:v>2038</c:v>
                </c:pt>
                <c:pt idx="278">
                  <c:v>2038</c:v>
                </c:pt>
                <c:pt idx="279">
                  <c:v>2038</c:v>
                </c:pt>
                <c:pt idx="280">
                  <c:v>2038</c:v>
                </c:pt>
                <c:pt idx="281">
                  <c:v>2038</c:v>
                </c:pt>
                <c:pt idx="282">
                  <c:v>2038</c:v>
                </c:pt>
                <c:pt idx="283">
                  <c:v>2038</c:v>
                </c:pt>
                <c:pt idx="284">
                  <c:v>2038</c:v>
                </c:pt>
                <c:pt idx="285">
                  <c:v>2038</c:v>
                </c:pt>
                <c:pt idx="286">
                  <c:v>2039</c:v>
                </c:pt>
                <c:pt idx="287">
                  <c:v>2039</c:v>
                </c:pt>
                <c:pt idx="288">
                  <c:v>2039</c:v>
                </c:pt>
                <c:pt idx="289">
                  <c:v>2039</c:v>
                </c:pt>
                <c:pt idx="290">
                  <c:v>2039</c:v>
                </c:pt>
                <c:pt idx="291">
                  <c:v>2039</c:v>
                </c:pt>
                <c:pt idx="292">
                  <c:v>2039</c:v>
                </c:pt>
                <c:pt idx="293">
                  <c:v>2039</c:v>
                </c:pt>
                <c:pt idx="294">
                  <c:v>2039</c:v>
                </c:pt>
                <c:pt idx="295">
                  <c:v>2039</c:v>
                </c:pt>
                <c:pt idx="296">
                  <c:v>2039</c:v>
                </c:pt>
                <c:pt idx="297">
                  <c:v>2039</c:v>
                </c:pt>
                <c:pt idx="298">
                  <c:v>2040</c:v>
                </c:pt>
                <c:pt idx="299">
                  <c:v>2040</c:v>
                </c:pt>
                <c:pt idx="300">
                  <c:v>2040</c:v>
                </c:pt>
              </c:numCache>
            </c:numRef>
          </c:cat>
          <c:val>
            <c:numRef>
              <c:f>JIN_CEA_01!$F$10:$F$311</c:f>
              <c:numCache>
                <c:formatCode>General</c:formatCode>
                <c:ptCount val="302"/>
                <c:pt idx="0">
                  <c:v>0</c:v>
                </c:pt>
                <c:pt idx="1">
                  <c:v>3.665765898287E-3</c:v>
                </c:pt>
                <c:pt idx="2">
                  <c:v>7.3045369921639998E-3</c:v>
                </c:pt>
                <c:pt idx="3">
                  <c:v>1.0782672745697001E-2</c:v>
                </c:pt>
                <c:pt idx="4">
                  <c:v>1.4289592929512001E-2</c:v>
                </c:pt>
                <c:pt idx="5">
                  <c:v>1.7777164297703998E-2</c:v>
                </c:pt>
                <c:pt idx="6">
                  <c:v>2.1049401447441999E-2</c:v>
                </c:pt>
                <c:pt idx="7">
                  <c:v>2.4184590290101001E-2</c:v>
                </c:pt>
                <c:pt idx="8">
                  <c:v>2.7181298018921999E-2</c:v>
                </c:pt>
                <c:pt idx="9">
                  <c:v>3.0246213822725E-2</c:v>
                </c:pt>
                <c:pt idx="10">
                  <c:v>3.3460150850739001E-2</c:v>
                </c:pt>
                <c:pt idx="11">
                  <c:v>3.6944395507843002E-2</c:v>
                </c:pt>
                <c:pt idx="12">
                  <c:v>4.1875086744400998E-2</c:v>
                </c:pt>
                <c:pt idx="13">
                  <c:v>4.8685630396386001E-2</c:v>
                </c:pt>
                <c:pt idx="14">
                  <c:v>5.8544491308073002E-2</c:v>
                </c:pt>
                <c:pt idx="15">
                  <c:v>7.1686900162462E-2</c:v>
                </c:pt>
                <c:pt idx="16">
                  <c:v>8.9921673478250003E-2</c:v>
                </c:pt>
                <c:pt idx="17">
                  <c:v>0.114403770615304</c:v>
                </c:pt>
                <c:pt idx="18">
                  <c:v>0.14434746370884499</c:v>
                </c:pt>
                <c:pt idx="19">
                  <c:v>0.18260336549827499</c:v>
                </c:pt>
                <c:pt idx="20">
                  <c:v>0.22873004396229099</c:v>
                </c:pt>
                <c:pt idx="21">
                  <c:v>0.28510708095451498</c:v>
                </c:pt>
                <c:pt idx="22">
                  <c:v>0.34862027642349103</c:v>
                </c:pt>
                <c:pt idx="23">
                  <c:v>0.41044248134893502</c:v>
                </c:pt>
                <c:pt idx="24">
                  <c:v>0.484144477865873</c:v>
                </c:pt>
                <c:pt idx="25">
                  <c:v>0.56124096237982601</c:v>
                </c:pt>
                <c:pt idx="26">
                  <c:v>0.64647871627498199</c:v>
                </c:pt>
                <c:pt idx="27">
                  <c:v>0.73883656823024801</c:v>
                </c:pt>
                <c:pt idx="28">
                  <c:v>0.84427669321271404</c:v>
                </c:pt>
                <c:pt idx="29">
                  <c:v>0.96197251387341198</c:v>
                </c:pt>
                <c:pt idx="30">
                  <c:v>1.08402613835893</c:v>
                </c:pt>
                <c:pt idx="31">
                  <c:v>1.2113350954434801</c:v>
                </c:pt>
                <c:pt idx="32">
                  <c:v>1.33907927262924</c:v>
                </c:pt>
                <c:pt idx="33">
                  <c:v>1.4748945276640699</c:v>
                </c:pt>
                <c:pt idx="34">
                  <c:v>1.61504872288402</c:v>
                </c:pt>
                <c:pt idx="35">
                  <c:v>1.7470930532107001</c:v>
                </c:pt>
                <c:pt idx="36">
                  <c:v>1.90178105152167</c:v>
                </c:pt>
                <c:pt idx="37">
                  <c:v>2.0605523842502702</c:v>
                </c:pt>
                <c:pt idx="38">
                  <c:v>2.2314231965508702</c:v>
                </c:pt>
                <c:pt idx="39">
                  <c:v>2.4088000303321899</c:v>
                </c:pt>
                <c:pt idx="40">
                  <c:v>2.5975514459001801</c:v>
                </c:pt>
                <c:pt idx="41">
                  <c:v>2.79724964134375</c:v>
                </c:pt>
                <c:pt idx="42">
                  <c:v>2.9910982139529798</c:v>
                </c:pt>
                <c:pt idx="43">
                  <c:v>3.1788253148839898</c:v>
                </c:pt>
                <c:pt idx="44">
                  <c:v>3.3650841522113502</c:v>
                </c:pt>
                <c:pt idx="45">
                  <c:v>3.56192147475794</c:v>
                </c:pt>
                <c:pt idx="46">
                  <c:v>3.7640375992286499</c:v>
                </c:pt>
                <c:pt idx="47">
                  <c:v>3.94935330903819</c:v>
                </c:pt>
                <c:pt idx="48">
                  <c:v>4.1566026467529698</c:v>
                </c:pt>
                <c:pt idx="49">
                  <c:v>4.3615132574620796</c:v>
                </c:pt>
                <c:pt idx="50">
                  <c:v>4.5737220272482304</c:v>
                </c:pt>
                <c:pt idx="51">
                  <c:v>4.7936010632240498</c:v>
                </c:pt>
                <c:pt idx="52">
                  <c:v>5.0261393662436404</c:v>
                </c:pt>
                <c:pt idx="53">
                  <c:v>5.27334309828694</c:v>
                </c:pt>
                <c:pt idx="54">
                  <c:v>5.5096309743208796</c:v>
                </c:pt>
                <c:pt idx="55">
                  <c:v>5.7219112025872603</c:v>
                </c:pt>
                <c:pt idx="56">
                  <c:v>5.9221778764526603</c:v>
                </c:pt>
                <c:pt idx="57">
                  <c:v>6.1244102461254002</c:v>
                </c:pt>
                <c:pt idx="58">
                  <c:v>6.3240424421712804</c:v>
                </c:pt>
                <c:pt idx="59">
                  <c:v>6.5088533750356801</c:v>
                </c:pt>
                <c:pt idx="60">
                  <c:v>6.7061138361446098</c:v>
                </c:pt>
                <c:pt idx="61">
                  <c:v>6.8989862551263101</c:v>
                </c:pt>
                <c:pt idx="62">
                  <c:v>7.0959253500226698</c:v>
                </c:pt>
                <c:pt idx="63">
                  <c:v>7.3021766529485701</c:v>
                </c:pt>
                <c:pt idx="64">
                  <c:v>7.5230489035380304</c:v>
                </c:pt>
                <c:pt idx="65">
                  <c:v>7.7594157684852503</c:v>
                </c:pt>
                <c:pt idx="66">
                  <c:v>7.9801601842138803</c:v>
                </c:pt>
                <c:pt idx="67">
                  <c:v>8.1678092011629992</c:v>
                </c:pt>
                <c:pt idx="68">
                  <c:v>8.3417306937404199</c:v>
                </c:pt>
                <c:pt idx="69">
                  <c:v>8.5171658063440407</c:v>
                </c:pt>
                <c:pt idx="70">
                  <c:v>8.6909650771489897</c:v>
                </c:pt>
                <c:pt idx="71">
                  <c:v>8.8470791023740993</c:v>
                </c:pt>
                <c:pt idx="72">
                  <c:v>9.0211817625271795</c:v>
                </c:pt>
                <c:pt idx="73">
                  <c:v>9.1946760842065292</c:v>
                </c:pt>
                <c:pt idx="74">
                  <c:v>9.3734985073716697</c:v>
                </c:pt>
                <c:pt idx="75">
                  <c:v>9.5680713426333206</c:v>
                </c:pt>
                <c:pt idx="76">
                  <c:v>9.7774058256971106</c:v>
                </c:pt>
                <c:pt idx="77">
                  <c:v>10.0055616070567</c:v>
                </c:pt>
                <c:pt idx="78">
                  <c:v>10.215517115710901</c:v>
                </c:pt>
                <c:pt idx="79">
                  <c:v>10.3788597247319</c:v>
                </c:pt>
                <c:pt idx="80">
                  <c:v>10.526227625336199</c:v>
                </c:pt>
                <c:pt idx="81">
                  <c:v>10.672326652149</c:v>
                </c:pt>
                <c:pt idx="82">
                  <c:v>10.815670560194601</c:v>
                </c:pt>
                <c:pt idx="83">
                  <c:v>10.9435027822344</c:v>
                </c:pt>
                <c:pt idx="84">
                  <c:v>11.0859270948219</c:v>
                </c:pt>
                <c:pt idx="85">
                  <c:v>11.229303739870399</c:v>
                </c:pt>
                <c:pt idx="86">
                  <c:v>11.376133873575601</c:v>
                </c:pt>
                <c:pt idx="87">
                  <c:v>11.5445357181086</c:v>
                </c:pt>
                <c:pt idx="88">
                  <c:v>11.729437659253099</c:v>
                </c:pt>
                <c:pt idx="89">
                  <c:v>11.938062081242499</c:v>
                </c:pt>
                <c:pt idx="90">
                  <c:v>12.1286376070621</c:v>
                </c:pt>
                <c:pt idx="91">
                  <c:v>12.262883163233999</c:v>
                </c:pt>
                <c:pt idx="92">
                  <c:v>12.381315810927401</c:v>
                </c:pt>
                <c:pt idx="93">
                  <c:v>12.4976108362131</c:v>
                </c:pt>
                <c:pt idx="94">
                  <c:v>12.6118391932715</c:v>
                </c:pt>
                <c:pt idx="95">
                  <c:v>12.714057538128801</c:v>
                </c:pt>
                <c:pt idx="96">
                  <c:v>12.829214689741001</c:v>
                </c:pt>
                <c:pt idx="97">
                  <c:v>12.947989733930401</c:v>
                </c:pt>
                <c:pt idx="98">
                  <c:v>13.070004488700199</c:v>
                </c:pt>
                <c:pt idx="99">
                  <c:v>13.2189245663079</c:v>
                </c:pt>
                <c:pt idx="100">
                  <c:v>13.385743195474401</c:v>
                </c:pt>
                <c:pt idx="101">
                  <c:v>13.5802205795863</c:v>
                </c:pt>
                <c:pt idx="102">
                  <c:v>13.756634456546101</c:v>
                </c:pt>
                <c:pt idx="103">
                  <c:v>13.868690264229301</c:v>
                </c:pt>
                <c:pt idx="104">
                  <c:v>13.964918428577301</c:v>
                </c:pt>
                <c:pt idx="105">
                  <c:v>14.0582565919276</c:v>
                </c:pt>
                <c:pt idx="106">
                  <c:v>14.150643550506</c:v>
                </c:pt>
                <c:pt idx="107">
                  <c:v>14.2379322905826</c:v>
                </c:pt>
                <c:pt idx="108">
                  <c:v>14.335362468338101</c:v>
                </c:pt>
                <c:pt idx="109">
                  <c:v>14.438882164892799</c:v>
                </c:pt>
                <c:pt idx="110">
                  <c:v>14.5484674367345</c:v>
                </c:pt>
                <c:pt idx="111">
                  <c:v>14.6890058911083</c:v>
                </c:pt>
                <c:pt idx="112">
                  <c:v>14.8505541573888</c:v>
                </c:pt>
                <c:pt idx="113">
                  <c:v>15.0424279370866</c:v>
                </c:pt>
                <c:pt idx="114">
                  <c:v>15.214392421743399</c:v>
                </c:pt>
                <c:pt idx="115">
                  <c:v>15.3184669915748</c:v>
                </c:pt>
                <c:pt idx="116">
                  <c:v>15.4070779094711</c:v>
                </c:pt>
                <c:pt idx="117">
                  <c:v>15.493313064213201</c:v>
                </c:pt>
                <c:pt idx="118">
                  <c:v>15.5784347288341</c:v>
                </c:pt>
                <c:pt idx="119">
                  <c:v>15.655005281684399</c:v>
                </c:pt>
                <c:pt idx="120">
                  <c:v>15.743026691703999</c:v>
                </c:pt>
                <c:pt idx="121">
                  <c:v>15.837159009003701</c:v>
                </c:pt>
                <c:pt idx="122">
                  <c:v>15.936005449502799</c:v>
                </c:pt>
                <c:pt idx="123">
                  <c:v>16.0682173136023</c:v>
                </c:pt>
                <c:pt idx="124">
                  <c:v>16.221400942045999</c:v>
                </c:pt>
                <c:pt idx="125">
                  <c:v>16.4065785107728</c:v>
                </c:pt>
                <c:pt idx="126">
                  <c:v>16.570191785348101</c:v>
                </c:pt>
                <c:pt idx="127">
                  <c:v>16.658354790565799</c:v>
                </c:pt>
                <c:pt idx="128">
                  <c:v>16.729821550437599</c:v>
                </c:pt>
                <c:pt idx="129">
                  <c:v>16.797203444334102</c:v>
                </c:pt>
                <c:pt idx="130">
                  <c:v>16.863339715554801</c:v>
                </c:pt>
                <c:pt idx="131">
                  <c:v>16.923228496842899</c:v>
                </c:pt>
                <c:pt idx="132">
                  <c:v>16.993532506449899</c:v>
                </c:pt>
                <c:pt idx="133">
                  <c:v>17.071696843810798</c:v>
                </c:pt>
                <c:pt idx="134">
                  <c:v>17.1545428481983</c:v>
                </c:pt>
                <c:pt idx="135">
                  <c:v>17.274301141399501</c:v>
                </c:pt>
                <c:pt idx="136">
                  <c:v>17.416051642766899</c:v>
                </c:pt>
                <c:pt idx="137">
                  <c:v>17.592386759851301</c:v>
                </c:pt>
                <c:pt idx="138">
                  <c:v>17.7469244344801</c:v>
                </c:pt>
                <c:pt idx="139">
                  <c:v>17.820652639878698</c:v>
                </c:pt>
                <c:pt idx="140">
                  <c:v>17.877643761950701</c:v>
                </c:pt>
                <c:pt idx="141">
                  <c:v>17.930051274598299</c:v>
                </c:pt>
                <c:pt idx="142">
                  <c:v>17.9815263077015</c:v>
                </c:pt>
                <c:pt idx="143">
                  <c:v>18.028501522965399</c:v>
                </c:pt>
                <c:pt idx="144">
                  <c:v>18.085074207732301</c:v>
                </c:pt>
                <c:pt idx="145">
                  <c:v>18.1508793502258</c:v>
                </c:pt>
                <c:pt idx="146">
                  <c:v>18.221315658264398</c:v>
                </c:pt>
                <c:pt idx="147">
                  <c:v>18.331573444629498</c:v>
                </c:pt>
                <c:pt idx="148">
                  <c:v>18.464674563989099</c:v>
                </c:pt>
                <c:pt idx="149">
                  <c:v>18.634514953655898</c:v>
                </c:pt>
                <c:pt idx="150">
                  <c:v>18.782284740671201</c:v>
                </c:pt>
                <c:pt idx="151">
                  <c:v>18.844663086662798</c:v>
                </c:pt>
                <c:pt idx="152">
                  <c:v>18.8901896000846</c:v>
                </c:pt>
                <c:pt idx="153">
                  <c:v>18.930687229426699</c:v>
                </c:pt>
                <c:pt idx="154">
                  <c:v>18.970472207312699</c:v>
                </c:pt>
                <c:pt idx="155">
                  <c:v>19.008563837629399</c:v>
                </c:pt>
                <c:pt idx="156">
                  <c:v>19.054601902973801</c:v>
                </c:pt>
                <c:pt idx="157">
                  <c:v>19.110476577298801</c:v>
                </c:pt>
                <c:pt idx="158">
                  <c:v>19.1726268423146</c:v>
                </c:pt>
                <c:pt idx="159">
                  <c:v>19.275978449202199</c:v>
                </c:pt>
                <c:pt idx="160">
                  <c:v>19.403808198114099</c:v>
                </c:pt>
                <c:pt idx="161">
                  <c:v>19.568470151072599</c:v>
                </c:pt>
                <c:pt idx="162">
                  <c:v>19.707656603020201</c:v>
                </c:pt>
                <c:pt idx="163">
                  <c:v>19.760304545041201</c:v>
                </c:pt>
                <c:pt idx="164">
                  <c:v>19.796253895864101</c:v>
                </c:pt>
                <c:pt idx="165">
                  <c:v>19.8269924176623</c:v>
                </c:pt>
                <c:pt idx="166">
                  <c:v>19.85722845499</c:v>
                </c:pt>
                <c:pt idx="167">
                  <c:v>19.885573075304698</c:v>
                </c:pt>
                <c:pt idx="168">
                  <c:v>19.922625097397098</c:v>
                </c:pt>
                <c:pt idx="169">
                  <c:v>19.970425084794201</c:v>
                </c:pt>
                <c:pt idx="170">
                  <c:v>20.024507755363601</c:v>
                </c:pt>
                <c:pt idx="171">
                  <c:v>20.1218700516302</c:v>
                </c:pt>
                <c:pt idx="172">
                  <c:v>20.244384458898001</c:v>
                </c:pt>
                <c:pt idx="173">
                  <c:v>20.405274182221401</c:v>
                </c:pt>
                <c:pt idx="174">
                  <c:v>20.5402784983422</c:v>
                </c:pt>
                <c:pt idx="175">
                  <c:v>20.585306617943601</c:v>
                </c:pt>
                <c:pt idx="176">
                  <c:v>20.613470907361201</c:v>
                </c:pt>
                <c:pt idx="177">
                  <c:v>20.636072821258399</c:v>
                </c:pt>
                <c:pt idx="178">
                  <c:v>20.6582941287935</c:v>
                </c:pt>
                <c:pt idx="179">
                  <c:v>20.679550246980799</c:v>
                </c:pt>
                <c:pt idx="180">
                  <c:v>20.709066081559001</c:v>
                </c:pt>
                <c:pt idx="181">
                  <c:v>20.750107891609201</c:v>
                </c:pt>
                <c:pt idx="182">
                  <c:v>20.797435391838999</c:v>
                </c:pt>
                <c:pt idx="183">
                  <c:v>20.889867978904</c:v>
                </c:pt>
                <c:pt idx="184">
                  <c:v>21.008054289614101</c:v>
                </c:pt>
                <c:pt idx="185">
                  <c:v>21.165982685967499</c:v>
                </c:pt>
                <c:pt idx="186">
                  <c:v>21.297631204369601</c:v>
                </c:pt>
                <c:pt idx="187">
                  <c:v>21.336219005455401</c:v>
                </c:pt>
                <c:pt idx="188">
                  <c:v>21.3577667932819</c:v>
                </c:pt>
                <c:pt idx="189">
                  <c:v>21.373433721028601</c:v>
                </c:pt>
                <c:pt idx="190">
                  <c:v>21.388814523018699</c:v>
                </c:pt>
                <c:pt idx="191">
                  <c:v>21.404015046977399</c:v>
                </c:pt>
                <c:pt idx="192">
                  <c:v>21.427093857268201</c:v>
                </c:pt>
                <c:pt idx="193">
                  <c:v>21.462375506431599</c:v>
                </c:pt>
                <c:pt idx="194">
                  <c:v>21.503944066910101</c:v>
                </c:pt>
                <c:pt idx="195">
                  <c:v>21.5922436552442</c:v>
                </c:pt>
                <c:pt idx="196">
                  <c:v>21.706840668721501</c:v>
                </c:pt>
                <c:pt idx="197">
                  <c:v>21.862405792194401</c:v>
                </c:pt>
                <c:pt idx="198">
                  <c:v>21.991313899353699</c:v>
                </c:pt>
                <c:pt idx="199">
                  <c:v>22.0243663750332</c:v>
                </c:pt>
                <c:pt idx="200">
                  <c:v>22.040198749048098</c:v>
                </c:pt>
                <c:pt idx="201">
                  <c:v>22.0498601419789</c:v>
                </c:pt>
                <c:pt idx="202">
                  <c:v>22.059310502619901</c:v>
                </c:pt>
                <c:pt idx="203">
                  <c:v>22.069755316095598</c:v>
                </c:pt>
                <c:pt idx="204">
                  <c:v>22.087765086003401</c:v>
                </c:pt>
                <c:pt idx="205">
                  <c:v>22.118007432289701</c:v>
                </c:pt>
                <c:pt idx="206">
                  <c:v>22.156406437447899</c:v>
                </c:pt>
                <c:pt idx="207">
                  <c:v>22.241818549799401</c:v>
                </c:pt>
                <c:pt idx="208">
                  <c:v>22.355025605424601</c:v>
                </c:pt>
                <c:pt idx="209">
                  <c:v>22.5084466896067</c:v>
                </c:pt>
                <c:pt idx="210">
                  <c:v>22.631270641390401</c:v>
                </c:pt>
                <c:pt idx="211">
                  <c:v>22.6588872501429</c:v>
                </c:pt>
                <c:pt idx="212">
                  <c:v>22.6694572753985</c:v>
                </c:pt>
                <c:pt idx="213">
                  <c:v>22.673834553104399</c:v>
                </c:pt>
                <c:pt idx="214">
                  <c:v>22.678117696461101</c:v>
                </c:pt>
                <c:pt idx="215">
                  <c:v>22.683624004358499</c:v>
                </c:pt>
                <c:pt idx="216">
                  <c:v>22.696741979329399</c:v>
                </c:pt>
                <c:pt idx="217">
                  <c:v>22.722613624847899</c:v>
                </c:pt>
                <c:pt idx="218">
                  <c:v>22.756685021253698</c:v>
                </c:pt>
                <c:pt idx="219">
                  <c:v>22.839073021543498</c:v>
                </c:pt>
                <c:pt idx="220">
                  <c:v>22.949733969444502</c:v>
                </c:pt>
                <c:pt idx="221">
                  <c:v>23.101582474574201</c:v>
                </c:pt>
                <c:pt idx="222">
                  <c:v>23.2224130947764</c:v>
                </c:pt>
                <c:pt idx="223">
                  <c:v>23.245761039546501</c:v>
                </c:pt>
                <c:pt idx="224">
                  <c:v>23.251893445818599</c:v>
                </c:pt>
                <c:pt idx="225">
                  <c:v>23.251594049103598</c:v>
                </c:pt>
                <c:pt idx="226">
                  <c:v>23.251252204941601</c:v>
                </c:pt>
                <c:pt idx="227">
                  <c:v>23.2526599499569</c:v>
                </c:pt>
                <c:pt idx="228">
                  <c:v>23.261432706171401</c:v>
                </c:pt>
                <c:pt idx="229">
                  <c:v>23.283429063241002</c:v>
                </c:pt>
                <c:pt idx="230">
                  <c:v>23.3136652226057</c:v>
                </c:pt>
                <c:pt idx="231">
                  <c:v>23.393411321493399</c:v>
                </c:pt>
                <c:pt idx="232">
                  <c:v>23.501872454031499</c:v>
                </c:pt>
                <c:pt idx="233">
                  <c:v>23.652416301076599</c:v>
                </c:pt>
                <c:pt idx="234">
                  <c:v>23.771544686158499</c:v>
                </c:pt>
                <c:pt idx="235">
                  <c:v>23.791087317220999</c:v>
                </c:pt>
                <c:pt idx="236">
                  <c:v>23.793249414318499</c:v>
                </c:pt>
                <c:pt idx="237">
                  <c:v>23.788758844112301</c:v>
                </c:pt>
                <c:pt idx="238">
                  <c:v>23.784269483959001</c:v>
                </c:pt>
                <c:pt idx="239">
                  <c:v>23.7820005754335</c:v>
                </c:pt>
                <c:pt idx="240">
                  <c:v>23.786877259489799</c:v>
                </c:pt>
                <c:pt idx="241">
                  <c:v>23.805405090734698</c:v>
                </c:pt>
                <c:pt idx="242">
                  <c:v>23.8322103099934</c:v>
                </c:pt>
                <c:pt idx="243">
                  <c:v>23.9096246907637</c:v>
                </c:pt>
                <c:pt idx="244">
                  <c:v>24.0161650006219</c:v>
                </c:pt>
                <c:pt idx="245">
                  <c:v>24.165615708747399</c:v>
                </c:pt>
                <c:pt idx="246">
                  <c:v>24.283275030108101</c:v>
                </c:pt>
                <c:pt idx="247">
                  <c:v>24.299395891298801</c:v>
                </c:pt>
                <c:pt idx="248">
                  <c:v>24.297976160503602</c:v>
                </c:pt>
                <c:pt idx="249">
                  <c:v>24.289698949658799</c:v>
                </c:pt>
                <c:pt idx="250">
                  <c:v>24.2814603966834</c:v>
                </c:pt>
                <c:pt idx="251">
                  <c:v>24.2758197720132</c:v>
                </c:pt>
                <c:pt idx="252">
                  <c:v>24.277737680334099</c:v>
                </c:pt>
                <c:pt idx="253">
                  <c:v>24.293083951768899</c:v>
                </c:pt>
                <c:pt idx="254">
                  <c:v>24.318756768593101</c:v>
                </c:pt>
                <c:pt idx="255">
                  <c:v>24.3947797788089</c:v>
                </c:pt>
                <c:pt idx="256">
                  <c:v>24.501384555869201</c:v>
                </c:pt>
                <c:pt idx="257">
                  <c:v>24.649685711506802</c:v>
                </c:pt>
                <c:pt idx="258">
                  <c:v>24.7619588364743</c:v>
                </c:pt>
                <c:pt idx="259">
                  <c:v>24.774327423561001</c:v>
                </c:pt>
                <c:pt idx="260">
                  <c:v>24.769381971580799</c:v>
                </c:pt>
                <c:pt idx="261">
                  <c:v>24.7576513044209</c:v>
                </c:pt>
                <c:pt idx="262">
                  <c:v>24.746051879595498</c:v>
                </c:pt>
                <c:pt idx="263">
                  <c:v>24.737628186403001</c:v>
                </c:pt>
                <c:pt idx="264">
                  <c:v>24.736352478105498</c:v>
                </c:pt>
                <c:pt idx="265">
                  <c:v>24.748856341604199</c:v>
                </c:pt>
                <c:pt idx="266">
                  <c:v>24.7717521172973</c:v>
                </c:pt>
                <c:pt idx="267">
                  <c:v>24.845924079696601</c:v>
                </c:pt>
                <c:pt idx="268">
                  <c:v>24.951053364673001</c:v>
                </c:pt>
                <c:pt idx="269">
                  <c:v>25.098565308879099</c:v>
                </c:pt>
                <c:pt idx="270">
                  <c:v>25.209652903214401</c:v>
                </c:pt>
                <c:pt idx="271">
                  <c:v>25.219187293941399</c:v>
                </c:pt>
                <c:pt idx="272">
                  <c:v>25.211264642344901</c:v>
                </c:pt>
                <c:pt idx="273">
                  <c:v>25.1963830272576</c:v>
                </c:pt>
                <c:pt idx="274">
                  <c:v>25.181662208971801</c:v>
                </c:pt>
                <c:pt idx="275">
                  <c:v>25.170472144227102</c:v>
                </c:pt>
                <c:pt idx="276">
                  <c:v>25.166274616530998</c:v>
                </c:pt>
                <c:pt idx="277">
                  <c:v>25.176181631506299</c:v>
                </c:pt>
                <c:pt idx="278">
                  <c:v>25.196542389042001</c:v>
                </c:pt>
                <c:pt idx="279">
                  <c:v>25.269043502864299</c:v>
                </c:pt>
                <c:pt idx="280">
                  <c:v>25.372854698014699</c:v>
                </c:pt>
                <c:pt idx="281">
                  <c:v>25.519690657815801</c:v>
                </c:pt>
                <c:pt idx="282">
                  <c:v>25.629727099689699</c:v>
                </c:pt>
                <c:pt idx="283">
                  <c:v>25.6366642601511</c:v>
                </c:pt>
                <c:pt idx="284">
                  <c:v>25.626006814537401</c:v>
                </c:pt>
                <c:pt idx="285">
                  <c:v>25.6082279265494</c:v>
                </c:pt>
                <c:pt idx="286">
                  <c:v>25.590636189226899</c:v>
                </c:pt>
                <c:pt idx="287">
                  <c:v>25.576901579454201</c:v>
                </c:pt>
                <c:pt idx="288">
                  <c:v>25.570017971195401</c:v>
                </c:pt>
                <c:pt idx="289">
                  <c:v>25.577540998863299</c:v>
                </c:pt>
                <c:pt idx="290">
                  <c:v>25.5955764484575</c:v>
                </c:pt>
                <c:pt idx="291">
                  <c:v>25.6665612635835</c:v>
                </c:pt>
                <c:pt idx="292">
                  <c:v>25.7691883605779</c:v>
                </c:pt>
                <c:pt idx="293">
                  <c:v>25.9154427275415</c:v>
                </c:pt>
                <c:pt idx="294">
                  <c:v>26.0245419923606</c:v>
                </c:pt>
                <c:pt idx="295">
                  <c:v>26.029088550401699</c:v>
                </c:pt>
                <c:pt idx="296">
                  <c:v>26.015908353521301</c:v>
                </c:pt>
                <c:pt idx="297">
                  <c:v>25.995454451563901</c:v>
                </c:pt>
                <c:pt idx="298">
                  <c:v>25.9752114243589</c:v>
                </c:pt>
                <c:pt idx="299">
                  <c:v>25.958709530105299</c:v>
                </c:pt>
                <c:pt idx="300">
                  <c:v>25.949944153293899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42-4B56-8A45-BDC095EF6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565496"/>
        <c:axId val="438565888"/>
      </c:lineChart>
      <c:catAx>
        <c:axId val="43856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65888"/>
        <c:crosses val="autoZero"/>
        <c:auto val="1"/>
        <c:lblAlgn val="ctr"/>
        <c:lblOffset val="100"/>
        <c:noMultiLvlLbl val="0"/>
      </c:catAx>
      <c:valAx>
        <c:axId val="43856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6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HID_CEA_01!$E$8:$E$9</c:f>
              <c:strCache>
                <c:ptCount val="2"/>
                <c:pt idx="0">
                  <c:v>C mass of trees</c:v>
                </c:pt>
                <c:pt idx="1">
                  <c:v>tC/ha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HID_CEA_01!$A$10:$A$313</c:f>
              <c:numCache>
                <c:formatCode>General</c:formatCode>
                <c:ptCount val="304"/>
                <c:pt idx="0">
                  <c:v>2012</c:v>
                </c:pt>
                <c:pt idx="1">
                  <c:v>2012</c:v>
                </c:pt>
                <c:pt idx="2">
                  <c:v>2012</c:v>
                </c:pt>
                <c:pt idx="3">
                  <c:v>2012</c:v>
                </c:pt>
                <c:pt idx="4">
                  <c:v>2012</c:v>
                </c:pt>
                <c:pt idx="5">
                  <c:v>2012</c:v>
                </c:pt>
                <c:pt idx="6">
                  <c:v>2012</c:v>
                </c:pt>
                <c:pt idx="7">
                  <c:v>2012</c:v>
                </c:pt>
                <c:pt idx="8">
                  <c:v>2012</c:v>
                </c:pt>
                <c:pt idx="9">
                  <c:v>2012</c:v>
                </c:pt>
                <c:pt idx="10">
                  <c:v>2012</c:v>
                </c:pt>
                <c:pt idx="11">
                  <c:v>2012</c:v>
                </c:pt>
                <c:pt idx="12">
                  <c:v>2013</c:v>
                </c:pt>
                <c:pt idx="13">
                  <c:v>2013</c:v>
                </c:pt>
                <c:pt idx="14">
                  <c:v>2013</c:v>
                </c:pt>
                <c:pt idx="15">
                  <c:v>2013</c:v>
                </c:pt>
                <c:pt idx="16">
                  <c:v>2013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2013</c:v>
                </c:pt>
                <c:pt idx="22">
                  <c:v>2013</c:v>
                </c:pt>
                <c:pt idx="23">
                  <c:v>2013</c:v>
                </c:pt>
                <c:pt idx="24">
                  <c:v>2014</c:v>
                </c:pt>
                <c:pt idx="25">
                  <c:v>2014</c:v>
                </c:pt>
                <c:pt idx="26">
                  <c:v>2014</c:v>
                </c:pt>
                <c:pt idx="27">
                  <c:v>2014</c:v>
                </c:pt>
                <c:pt idx="28">
                  <c:v>2014</c:v>
                </c:pt>
                <c:pt idx="29">
                  <c:v>2014</c:v>
                </c:pt>
                <c:pt idx="30">
                  <c:v>2014</c:v>
                </c:pt>
                <c:pt idx="31">
                  <c:v>2014</c:v>
                </c:pt>
                <c:pt idx="32">
                  <c:v>2014</c:v>
                </c:pt>
                <c:pt idx="33">
                  <c:v>2014</c:v>
                </c:pt>
                <c:pt idx="34">
                  <c:v>2014</c:v>
                </c:pt>
                <c:pt idx="35">
                  <c:v>2014</c:v>
                </c:pt>
                <c:pt idx="36">
                  <c:v>2015</c:v>
                </c:pt>
                <c:pt idx="37">
                  <c:v>2015</c:v>
                </c:pt>
                <c:pt idx="38">
                  <c:v>2015</c:v>
                </c:pt>
                <c:pt idx="39">
                  <c:v>2015</c:v>
                </c:pt>
                <c:pt idx="40">
                  <c:v>2015</c:v>
                </c:pt>
                <c:pt idx="41">
                  <c:v>2015</c:v>
                </c:pt>
                <c:pt idx="42">
                  <c:v>2015</c:v>
                </c:pt>
                <c:pt idx="43">
                  <c:v>2015</c:v>
                </c:pt>
                <c:pt idx="44">
                  <c:v>2015</c:v>
                </c:pt>
                <c:pt idx="45">
                  <c:v>2015</c:v>
                </c:pt>
                <c:pt idx="46">
                  <c:v>2015</c:v>
                </c:pt>
                <c:pt idx="47">
                  <c:v>2015</c:v>
                </c:pt>
                <c:pt idx="48">
                  <c:v>2016</c:v>
                </c:pt>
                <c:pt idx="49">
                  <c:v>2016</c:v>
                </c:pt>
                <c:pt idx="50">
                  <c:v>2016</c:v>
                </c:pt>
                <c:pt idx="51">
                  <c:v>2016</c:v>
                </c:pt>
                <c:pt idx="52">
                  <c:v>2016</c:v>
                </c:pt>
                <c:pt idx="53">
                  <c:v>2016</c:v>
                </c:pt>
                <c:pt idx="54">
                  <c:v>2016</c:v>
                </c:pt>
                <c:pt idx="55">
                  <c:v>2016</c:v>
                </c:pt>
                <c:pt idx="56">
                  <c:v>2016</c:v>
                </c:pt>
                <c:pt idx="57">
                  <c:v>2016</c:v>
                </c:pt>
                <c:pt idx="58">
                  <c:v>2016</c:v>
                </c:pt>
                <c:pt idx="59">
                  <c:v>2016</c:v>
                </c:pt>
                <c:pt idx="60">
                  <c:v>2017</c:v>
                </c:pt>
                <c:pt idx="61">
                  <c:v>2017</c:v>
                </c:pt>
                <c:pt idx="62">
                  <c:v>2017</c:v>
                </c:pt>
                <c:pt idx="63">
                  <c:v>2017</c:v>
                </c:pt>
                <c:pt idx="64">
                  <c:v>2017</c:v>
                </c:pt>
                <c:pt idx="65">
                  <c:v>2017</c:v>
                </c:pt>
                <c:pt idx="66">
                  <c:v>2017</c:v>
                </c:pt>
                <c:pt idx="67">
                  <c:v>2017</c:v>
                </c:pt>
                <c:pt idx="68">
                  <c:v>2017</c:v>
                </c:pt>
                <c:pt idx="69">
                  <c:v>2017</c:v>
                </c:pt>
                <c:pt idx="70">
                  <c:v>2017</c:v>
                </c:pt>
                <c:pt idx="71">
                  <c:v>2017</c:v>
                </c:pt>
                <c:pt idx="72">
                  <c:v>2018</c:v>
                </c:pt>
                <c:pt idx="73">
                  <c:v>2018</c:v>
                </c:pt>
                <c:pt idx="74">
                  <c:v>2018</c:v>
                </c:pt>
                <c:pt idx="75">
                  <c:v>2018</c:v>
                </c:pt>
                <c:pt idx="76">
                  <c:v>2018</c:v>
                </c:pt>
                <c:pt idx="77">
                  <c:v>2018</c:v>
                </c:pt>
                <c:pt idx="78">
                  <c:v>2018</c:v>
                </c:pt>
                <c:pt idx="79">
                  <c:v>2018</c:v>
                </c:pt>
                <c:pt idx="80">
                  <c:v>2018</c:v>
                </c:pt>
                <c:pt idx="81">
                  <c:v>2018</c:v>
                </c:pt>
                <c:pt idx="82">
                  <c:v>2018</c:v>
                </c:pt>
                <c:pt idx="83">
                  <c:v>2018</c:v>
                </c:pt>
                <c:pt idx="84">
                  <c:v>2019</c:v>
                </c:pt>
                <c:pt idx="85">
                  <c:v>2019</c:v>
                </c:pt>
                <c:pt idx="86">
                  <c:v>2019</c:v>
                </c:pt>
                <c:pt idx="87">
                  <c:v>2019</c:v>
                </c:pt>
                <c:pt idx="88">
                  <c:v>2019</c:v>
                </c:pt>
                <c:pt idx="89">
                  <c:v>2019</c:v>
                </c:pt>
                <c:pt idx="90">
                  <c:v>2019</c:v>
                </c:pt>
                <c:pt idx="91">
                  <c:v>2019</c:v>
                </c:pt>
                <c:pt idx="92">
                  <c:v>2019</c:v>
                </c:pt>
                <c:pt idx="93">
                  <c:v>2019</c:v>
                </c:pt>
                <c:pt idx="94">
                  <c:v>2019</c:v>
                </c:pt>
                <c:pt idx="95">
                  <c:v>2019</c:v>
                </c:pt>
                <c:pt idx="96">
                  <c:v>2020</c:v>
                </c:pt>
                <c:pt idx="97">
                  <c:v>2020</c:v>
                </c:pt>
                <c:pt idx="98">
                  <c:v>2020</c:v>
                </c:pt>
                <c:pt idx="99">
                  <c:v>2020</c:v>
                </c:pt>
                <c:pt idx="100">
                  <c:v>2020</c:v>
                </c:pt>
                <c:pt idx="101">
                  <c:v>2020</c:v>
                </c:pt>
                <c:pt idx="102">
                  <c:v>2020</c:v>
                </c:pt>
                <c:pt idx="103">
                  <c:v>2020</c:v>
                </c:pt>
                <c:pt idx="104">
                  <c:v>2020</c:v>
                </c:pt>
                <c:pt idx="105">
                  <c:v>2020</c:v>
                </c:pt>
                <c:pt idx="106">
                  <c:v>2020</c:v>
                </c:pt>
                <c:pt idx="107">
                  <c:v>2020</c:v>
                </c:pt>
                <c:pt idx="108">
                  <c:v>2021</c:v>
                </c:pt>
                <c:pt idx="109">
                  <c:v>2021</c:v>
                </c:pt>
                <c:pt idx="110">
                  <c:v>2021</c:v>
                </c:pt>
                <c:pt idx="111">
                  <c:v>2021</c:v>
                </c:pt>
                <c:pt idx="112">
                  <c:v>2021</c:v>
                </c:pt>
                <c:pt idx="113">
                  <c:v>2021</c:v>
                </c:pt>
                <c:pt idx="114">
                  <c:v>2021</c:v>
                </c:pt>
                <c:pt idx="115">
                  <c:v>2021</c:v>
                </c:pt>
                <c:pt idx="116">
                  <c:v>2021</c:v>
                </c:pt>
                <c:pt idx="117">
                  <c:v>2021</c:v>
                </c:pt>
                <c:pt idx="118">
                  <c:v>2021</c:v>
                </c:pt>
                <c:pt idx="119">
                  <c:v>2021</c:v>
                </c:pt>
                <c:pt idx="120">
                  <c:v>2022</c:v>
                </c:pt>
                <c:pt idx="121">
                  <c:v>2022</c:v>
                </c:pt>
                <c:pt idx="122">
                  <c:v>2022</c:v>
                </c:pt>
                <c:pt idx="123">
                  <c:v>2022</c:v>
                </c:pt>
                <c:pt idx="124">
                  <c:v>2022</c:v>
                </c:pt>
                <c:pt idx="125">
                  <c:v>2022</c:v>
                </c:pt>
                <c:pt idx="126">
                  <c:v>2022</c:v>
                </c:pt>
                <c:pt idx="127">
                  <c:v>2022</c:v>
                </c:pt>
                <c:pt idx="128">
                  <c:v>2022</c:v>
                </c:pt>
                <c:pt idx="129">
                  <c:v>2022</c:v>
                </c:pt>
                <c:pt idx="130">
                  <c:v>2022</c:v>
                </c:pt>
                <c:pt idx="131">
                  <c:v>2022</c:v>
                </c:pt>
                <c:pt idx="132">
                  <c:v>2023</c:v>
                </c:pt>
                <c:pt idx="133">
                  <c:v>2023</c:v>
                </c:pt>
                <c:pt idx="134">
                  <c:v>2023</c:v>
                </c:pt>
                <c:pt idx="135">
                  <c:v>2023</c:v>
                </c:pt>
                <c:pt idx="136">
                  <c:v>2023</c:v>
                </c:pt>
                <c:pt idx="137">
                  <c:v>2023</c:v>
                </c:pt>
                <c:pt idx="138">
                  <c:v>2023</c:v>
                </c:pt>
                <c:pt idx="139">
                  <c:v>2023</c:v>
                </c:pt>
                <c:pt idx="140">
                  <c:v>2023</c:v>
                </c:pt>
                <c:pt idx="141">
                  <c:v>2023</c:v>
                </c:pt>
                <c:pt idx="142">
                  <c:v>2023</c:v>
                </c:pt>
                <c:pt idx="143">
                  <c:v>2023</c:v>
                </c:pt>
                <c:pt idx="144">
                  <c:v>2024</c:v>
                </c:pt>
                <c:pt idx="145">
                  <c:v>2024</c:v>
                </c:pt>
                <c:pt idx="146">
                  <c:v>2024</c:v>
                </c:pt>
                <c:pt idx="147">
                  <c:v>2024</c:v>
                </c:pt>
                <c:pt idx="148">
                  <c:v>2024</c:v>
                </c:pt>
                <c:pt idx="149">
                  <c:v>2024</c:v>
                </c:pt>
                <c:pt idx="150">
                  <c:v>2024</c:v>
                </c:pt>
                <c:pt idx="151">
                  <c:v>2024</c:v>
                </c:pt>
                <c:pt idx="152">
                  <c:v>2024</c:v>
                </c:pt>
                <c:pt idx="153">
                  <c:v>2024</c:v>
                </c:pt>
                <c:pt idx="154">
                  <c:v>2024</c:v>
                </c:pt>
                <c:pt idx="155">
                  <c:v>2024</c:v>
                </c:pt>
                <c:pt idx="156">
                  <c:v>2025</c:v>
                </c:pt>
                <c:pt idx="157">
                  <c:v>2025</c:v>
                </c:pt>
                <c:pt idx="158">
                  <c:v>2025</c:v>
                </c:pt>
                <c:pt idx="159">
                  <c:v>2025</c:v>
                </c:pt>
                <c:pt idx="160">
                  <c:v>2025</c:v>
                </c:pt>
                <c:pt idx="161">
                  <c:v>2025</c:v>
                </c:pt>
                <c:pt idx="162">
                  <c:v>2025</c:v>
                </c:pt>
                <c:pt idx="163">
                  <c:v>2025</c:v>
                </c:pt>
                <c:pt idx="164">
                  <c:v>2025</c:v>
                </c:pt>
                <c:pt idx="165">
                  <c:v>2025</c:v>
                </c:pt>
                <c:pt idx="166">
                  <c:v>2025</c:v>
                </c:pt>
                <c:pt idx="167">
                  <c:v>2025</c:v>
                </c:pt>
                <c:pt idx="168">
                  <c:v>2026</c:v>
                </c:pt>
                <c:pt idx="169">
                  <c:v>2026</c:v>
                </c:pt>
                <c:pt idx="170">
                  <c:v>2026</c:v>
                </c:pt>
                <c:pt idx="171">
                  <c:v>2026</c:v>
                </c:pt>
                <c:pt idx="172">
                  <c:v>2026</c:v>
                </c:pt>
                <c:pt idx="173">
                  <c:v>2026</c:v>
                </c:pt>
                <c:pt idx="174">
                  <c:v>2026</c:v>
                </c:pt>
                <c:pt idx="175">
                  <c:v>2026</c:v>
                </c:pt>
                <c:pt idx="176">
                  <c:v>2026</c:v>
                </c:pt>
                <c:pt idx="177">
                  <c:v>2026</c:v>
                </c:pt>
                <c:pt idx="178">
                  <c:v>2026</c:v>
                </c:pt>
                <c:pt idx="179">
                  <c:v>2026</c:v>
                </c:pt>
                <c:pt idx="180">
                  <c:v>2027</c:v>
                </c:pt>
                <c:pt idx="181">
                  <c:v>2027</c:v>
                </c:pt>
                <c:pt idx="182">
                  <c:v>2027</c:v>
                </c:pt>
                <c:pt idx="183">
                  <c:v>2027</c:v>
                </c:pt>
                <c:pt idx="184">
                  <c:v>2027</c:v>
                </c:pt>
                <c:pt idx="185">
                  <c:v>2027</c:v>
                </c:pt>
                <c:pt idx="186">
                  <c:v>2027</c:v>
                </c:pt>
                <c:pt idx="187">
                  <c:v>2027</c:v>
                </c:pt>
                <c:pt idx="188">
                  <c:v>2027</c:v>
                </c:pt>
                <c:pt idx="189">
                  <c:v>2027</c:v>
                </c:pt>
                <c:pt idx="190">
                  <c:v>2027</c:v>
                </c:pt>
                <c:pt idx="191">
                  <c:v>2027</c:v>
                </c:pt>
                <c:pt idx="192">
                  <c:v>2028</c:v>
                </c:pt>
                <c:pt idx="193">
                  <c:v>2028</c:v>
                </c:pt>
                <c:pt idx="194">
                  <c:v>2028</c:v>
                </c:pt>
                <c:pt idx="195">
                  <c:v>2028</c:v>
                </c:pt>
                <c:pt idx="196">
                  <c:v>2028</c:v>
                </c:pt>
                <c:pt idx="197">
                  <c:v>2028</c:v>
                </c:pt>
                <c:pt idx="198">
                  <c:v>2028</c:v>
                </c:pt>
                <c:pt idx="199">
                  <c:v>2028</c:v>
                </c:pt>
                <c:pt idx="200">
                  <c:v>2028</c:v>
                </c:pt>
                <c:pt idx="201">
                  <c:v>2028</c:v>
                </c:pt>
                <c:pt idx="202">
                  <c:v>2028</c:v>
                </c:pt>
                <c:pt idx="203">
                  <c:v>2028</c:v>
                </c:pt>
                <c:pt idx="204">
                  <c:v>2029</c:v>
                </c:pt>
                <c:pt idx="205">
                  <c:v>2029</c:v>
                </c:pt>
                <c:pt idx="206">
                  <c:v>2029</c:v>
                </c:pt>
                <c:pt idx="207">
                  <c:v>2029</c:v>
                </c:pt>
                <c:pt idx="208">
                  <c:v>2029</c:v>
                </c:pt>
                <c:pt idx="209">
                  <c:v>2029</c:v>
                </c:pt>
                <c:pt idx="210">
                  <c:v>2029</c:v>
                </c:pt>
                <c:pt idx="211">
                  <c:v>2029</c:v>
                </c:pt>
                <c:pt idx="212">
                  <c:v>2029</c:v>
                </c:pt>
                <c:pt idx="213">
                  <c:v>2029</c:v>
                </c:pt>
                <c:pt idx="214">
                  <c:v>2029</c:v>
                </c:pt>
                <c:pt idx="215">
                  <c:v>2029</c:v>
                </c:pt>
                <c:pt idx="216">
                  <c:v>2030</c:v>
                </c:pt>
                <c:pt idx="217">
                  <c:v>2030</c:v>
                </c:pt>
                <c:pt idx="218">
                  <c:v>2030</c:v>
                </c:pt>
                <c:pt idx="219">
                  <c:v>2030</c:v>
                </c:pt>
                <c:pt idx="220">
                  <c:v>2030</c:v>
                </c:pt>
                <c:pt idx="221">
                  <c:v>2030</c:v>
                </c:pt>
                <c:pt idx="222">
                  <c:v>2030</c:v>
                </c:pt>
                <c:pt idx="223">
                  <c:v>2030</c:v>
                </c:pt>
                <c:pt idx="224">
                  <c:v>2030</c:v>
                </c:pt>
                <c:pt idx="225">
                  <c:v>2030</c:v>
                </c:pt>
                <c:pt idx="226">
                  <c:v>2030</c:v>
                </c:pt>
                <c:pt idx="227">
                  <c:v>2030</c:v>
                </c:pt>
                <c:pt idx="228">
                  <c:v>2031</c:v>
                </c:pt>
                <c:pt idx="229">
                  <c:v>2031</c:v>
                </c:pt>
                <c:pt idx="230">
                  <c:v>2031</c:v>
                </c:pt>
                <c:pt idx="231">
                  <c:v>2031</c:v>
                </c:pt>
                <c:pt idx="232">
                  <c:v>2031</c:v>
                </c:pt>
                <c:pt idx="233">
                  <c:v>2031</c:v>
                </c:pt>
                <c:pt idx="234">
                  <c:v>2031</c:v>
                </c:pt>
                <c:pt idx="235">
                  <c:v>2031</c:v>
                </c:pt>
                <c:pt idx="236">
                  <c:v>2031</c:v>
                </c:pt>
                <c:pt idx="237">
                  <c:v>2031</c:v>
                </c:pt>
                <c:pt idx="238">
                  <c:v>2031</c:v>
                </c:pt>
                <c:pt idx="239">
                  <c:v>2031</c:v>
                </c:pt>
                <c:pt idx="240">
                  <c:v>2032</c:v>
                </c:pt>
                <c:pt idx="241">
                  <c:v>2032</c:v>
                </c:pt>
                <c:pt idx="242">
                  <c:v>2032</c:v>
                </c:pt>
                <c:pt idx="243">
                  <c:v>2032</c:v>
                </c:pt>
                <c:pt idx="244">
                  <c:v>2032</c:v>
                </c:pt>
                <c:pt idx="245">
                  <c:v>2032</c:v>
                </c:pt>
                <c:pt idx="246">
                  <c:v>2032</c:v>
                </c:pt>
                <c:pt idx="247">
                  <c:v>2032</c:v>
                </c:pt>
                <c:pt idx="248">
                  <c:v>2032</c:v>
                </c:pt>
                <c:pt idx="249">
                  <c:v>2032</c:v>
                </c:pt>
                <c:pt idx="250">
                  <c:v>2032</c:v>
                </c:pt>
                <c:pt idx="251">
                  <c:v>2032</c:v>
                </c:pt>
                <c:pt idx="252">
                  <c:v>2033</c:v>
                </c:pt>
                <c:pt idx="253">
                  <c:v>2033</c:v>
                </c:pt>
                <c:pt idx="254">
                  <c:v>2033</c:v>
                </c:pt>
                <c:pt idx="255">
                  <c:v>2033</c:v>
                </c:pt>
                <c:pt idx="256">
                  <c:v>2033</c:v>
                </c:pt>
                <c:pt idx="257">
                  <c:v>2033</c:v>
                </c:pt>
                <c:pt idx="258">
                  <c:v>2033</c:v>
                </c:pt>
                <c:pt idx="259">
                  <c:v>2033</c:v>
                </c:pt>
                <c:pt idx="260">
                  <c:v>2033</c:v>
                </c:pt>
                <c:pt idx="261">
                  <c:v>2033</c:v>
                </c:pt>
                <c:pt idx="262">
                  <c:v>2033</c:v>
                </c:pt>
                <c:pt idx="263">
                  <c:v>2033</c:v>
                </c:pt>
                <c:pt idx="264">
                  <c:v>2034</c:v>
                </c:pt>
                <c:pt idx="265">
                  <c:v>2034</c:v>
                </c:pt>
                <c:pt idx="266">
                  <c:v>2034</c:v>
                </c:pt>
                <c:pt idx="267">
                  <c:v>2034</c:v>
                </c:pt>
                <c:pt idx="268">
                  <c:v>2034</c:v>
                </c:pt>
                <c:pt idx="269">
                  <c:v>2034</c:v>
                </c:pt>
                <c:pt idx="270">
                  <c:v>2034</c:v>
                </c:pt>
                <c:pt idx="271">
                  <c:v>2034</c:v>
                </c:pt>
                <c:pt idx="272">
                  <c:v>2034</c:v>
                </c:pt>
                <c:pt idx="273">
                  <c:v>2034</c:v>
                </c:pt>
                <c:pt idx="274">
                  <c:v>2034</c:v>
                </c:pt>
                <c:pt idx="275">
                  <c:v>2034</c:v>
                </c:pt>
                <c:pt idx="276">
                  <c:v>2035</c:v>
                </c:pt>
                <c:pt idx="277">
                  <c:v>2035</c:v>
                </c:pt>
                <c:pt idx="278">
                  <c:v>2035</c:v>
                </c:pt>
                <c:pt idx="279">
                  <c:v>2035</c:v>
                </c:pt>
                <c:pt idx="280">
                  <c:v>2035</c:v>
                </c:pt>
                <c:pt idx="281">
                  <c:v>2035</c:v>
                </c:pt>
                <c:pt idx="282">
                  <c:v>2035</c:v>
                </c:pt>
                <c:pt idx="283">
                  <c:v>2035</c:v>
                </c:pt>
                <c:pt idx="284">
                  <c:v>2035</c:v>
                </c:pt>
                <c:pt idx="285">
                  <c:v>2035</c:v>
                </c:pt>
                <c:pt idx="286">
                  <c:v>2035</c:v>
                </c:pt>
                <c:pt idx="287">
                  <c:v>2035</c:v>
                </c:pt>
                <c:pt idx="288">
                  <c:v>2036</c:v>
                </c:pt>
                <c:pt idx="289">
                  <c:v>2036</c:v>
                </c:pt>
                <c:pt idx="290">
                  <c:v>2036</c:v>
                </c:pt>
                <c:pt idx="291">
                  <c:v>2036</c:v>
                </c:pt>
                <c:pt idx="292">
                  <c:v>2036</c:v>
                </c:pt>
                <c:pt idx="293">
                  <c:v>2036</c:v>
                </c:pt>
                <c:pt idx="294">
                  <c:v>2036</c:v>
                </c:pt>
                <c:pt idx="295">
                  <c:v>2036</c:v>
                </c:pt>
                <c:pt idx="296">
                  <c:v>2036</c:v>
                </c:pt>
                <c:pt idx="297">
                  <c:v>2036</c:v>
                </c:pt>
                <c:pt idx="298">
                  <c:v>2036</c:v>
                </c:pt>
                <c:pt idx="299">
                  <c:v>2036</c:v>
                </c:pt>
                <c:pt idx="300">
                  <c:v>2037</c:v>
                </c:pt>
              </c:numCache>
            </c:numRef>
          </c:cat>
          <c:val>
            <c:numRef>
              <c:f>HID_CEA_01!$E$10:$E$311</c:f>
              <c:numCache>
                <c:formatCode>General</c:formatCode>
                <c:ptCount val="302"/>
                <c:pt idx="0">
                  <c:v>0</c:v>
                </c:pt>
                <c:pt idx="1">
                  <c:v>0.29370000000000002</c:v>
                </c:pt>
                <c:pt idx="2">
                  <c:v>0.29370000000000002</c:v>
                </c:pt>
                <c:pt idx="3">
                  <c:v>0.29370000000000002</c:v>
                </c:pt>
                <c:pt idx="4">
                  <c:v>0.29370000000000002</c:v>
                </c:pt>
                <c:pt idx="5">
                  <c:v>0.29370000000000002</c:v>
                </c:pt>
                <c:pt idx="6">
                  <c:v>0.293700448308297</c:v>
                </c:pt>
                <c:pt idx="7">
                  <c:v>0.29370246789732402</c:v>
                </c:pt>
                <c:pt idx="8">
                  <c:v>0.29370879785390003</c:v>
                </c:pt>
                <c:pt idx="9">
                  <c:v>0.29372663660453402</c:v>
                </c:pt>
                <c:pt idx="10">
                  <c:v>0.29376852985723101</c:v>
                </c:pt>
                <c:pt idx="11">
                  <c:v>0.29403757867355201</c:v>
                </c:pt>
                <c:pt idx="12">
                  <c:v>0.29493824402456897</c:v>
                </c:pt>
                <c:pt idx="13">
                  <c:v>0.29690079414563503</c:v>
                </c:pt>
                <c:pt idx="14">
                  <c:v>0.30139343567743798</c:v>
                </c:pt>
                <c:pt idx="15">
                  <c:v>0.30822236199116299</c:v>
                </c:pt>
                <c:pt idx="16">
                  <c:v>0.319974143011372</c:v>
                </c:pt>
                <c:pt idx="17">
                  <c:v>0.33750830430334799</c:v>
                </c:pt>
                <c:pt idx="18">
                  <c:v>0.36370704290131101</c:v>
                </c:pt>
                <c:pt idx="19">
                  <c:v>0.39981703687616998</c:v>
                </c:pt>
                <c:pt idx="20">
                  <c:v>0.445698741176975</c:v>
                </c:pt>
                <c:pt idx="21">
                  <c:v>0.50149546996141303</c:v>
                </c:pt>
                <c:pt idx="22">
                  <c:v>0.56805477974650398</c:v>
                </c:pt>
                <c:pt idx="23">
                  <c:v>0.64962255765071897</c:v>
                </c:pt>
                <c:pt idx="24">
                  <c:v>0.72609088556508405</c:v>
                </c:pt>
                <c:pt idx="25">
                  <c:v>0.80530955464110499</c:v>
                </c:pt>
                <c:pt idx="26">
                  <c:v>0.90442339737981003</c:v>
                </c:pt>
                <c:pt idx="27">
                  <c:v>1.0075731067890099</c:v>
                </c:pt>
                <c:pt idx="28">
                  <c:v>1.1252952800827301</c:v>
                </c:pt>
                <c:pt idx="29">
                  <c:v>1.2499614825227301</c:v>
                </c:pt>
                <c:pt idx="30">
                  <c:v>1.41907995458211</c:v>
                </c:pt>
                <c:pt idx="31">
                  <c:v>1.6515774245998101</c:v>
                </c:pt>
                <c:pt idx="32">
                  <c:v>1.8930131119562601</c:v>
                </c:pt>
                <c:pt idx="33">
                  <c:v>2.1612731244158598</c:v>
                </c:pt>
                <c:pt idx="34">
                  <c:v>2.43788153422802</c:v>
                </c:pt>
                <c:pt idx="35">
                  <c:v>2.6395782882419998</c:v>
                </c:pt>
                <c:pt idx="36">
                  <c:v>2.8883573542768901</c:v>
                </c:pt>
                <c:pt idx="37">
                  <c:v>3.2534481057595102</c:v>
                </c:pt>
                <c:pt idx="38">
                  <c:v>3.67427759954374</c:v>
                </c:pt>
                <c:pt idx="39">
                  <c:v>4.0961122257999696</c:v>
                </c:pt>
                <c:pt idx="40">
                  <c:v>4.5433189498872402</c:v>
                </c:pt>
                <c:pt idx="41">
                  <c:v>4.9833208449428197</c:v>
                </c:pt>
                <c:pt idx="42">
                  <c:v>5.3894383439287301</c:v>
                </c:pt>
                <c:pt idx="43">
                  <c:v>5.7122609764407404</c:v>
                </c:pt>
                <c:pt idx="44">
                  <c:v>6.0277236703100403</c:v>
                </c:pt>
                <c:pt idx="45">
                  <c:v>6.3542175630550197</c:v>
                </c:pt>
                <c:pt idx="46">
                  <c:v>6.6717309719569302</c:v>
                </c:pt>
                <c:pt idx="47">
                  <c:v>7.0016556549412199</c:v>
                </c:pt>
                <c:pt idx="48">
                  <c:v>7.3318351422794903</c:v>
                </c:pt>
                <c:pt idx="49">
                  <c:v>7.50138199842426</c:v>
                </c:pt>
                <c:pt idx="50">
                  <c:v>7.6828893627911699</c:v>
                </c:pt>
                <c:pt idx="51">
                  <c:v>7.8587556179529203</c:v>
                </c:pt>
                <c:pt idx="52">
                  <c:v>8.0395408361698504</c:v>
                </c:pt>
                <c:pt idx="53">
                  <c:v>8.2145386784043897</c:v>
                </c:pt>
                <c:pt idx="54">
                  <c:v>8.3954466840063091</c:v>
                </c:pt>
                <c:pt idx="55">
                  <c:v>8.5763882307855894</c:v>
                </c:pt>
                <c:pt idx="56">
                  <c:v>8.7514841669684706</c:v>
                </c:pt>
                <c:pt idx="57">
                  <c:v>8.9323672546638395</c:v>
                </c:pt>
                <c:pt idx="58">
                  <c:v>9.1073306760642403</c:v>
                </c:pt>
                <c:pt idx="59">
                  <c:v>9.28800171989419</c:v>
                </c:pt>
                <c:pt idx="60">
                  <c:v>9.4685103239179593</c:v>
                </c:pt>
                <c:pt idx="61">
                  <c:v>9.6313818396506896</c:v>
                </c:pt>
                <c:pt idx="62">
                  <c:v>9.8106142503022102</c:v>
                </c:pt>
                <c:pt idx="63">
                  <c:v>9.9837617673822106</c:v>
                </c:pt>
                <c:pt idx="64">
                  <c:v>10.162398384942399</c:v>
                </c:pt>
                <c:pt idx="65">
                  <c:v>10.334972314555801</c:v>
                </c:pt>
                <c:pt idx="66">
                  <c:v>10.5129617313402</c:v>
                </c:pt>
                <c:pt idx="67">
                  <c:v>10.690582730926099</c:v>
                </c:pt>
                <c:pt idx="68">
                  <c:v>10.862099725247701</c:v>
                </c:pt>
                <c:pt idx="69">
                  <c:v>11.0389240501408</c:v>
                </c:pt>
                <c:pt idx="70">
                  <c:v>11.209626610901401</c:v>
                </c:pt>
                <c:pt idx="71">
                  <c:v>11.3926510530081</c:v>
                </c:pt>
                <c:pt idx="72">
                  <c:v>11.712562305982299</c:v>
                </c:pt>
                <c:pt idx="73">
                  <c:v>12.0000340295722</c:v>
                </c:pt>
                <c:pt idx="74">
                  <c:v>12.3165697080887</c:v>
                </c:pt>
                <c:pt idx="75">
                  <c:v>12.6210694266818</c:v>
                </c:pt>
                <c:pt idx="76">
                  <c:v>12.9337485309225</c:v>
                </c:pt>
                <c:pt idx="77">
                  <c:v>13.2330101821833</c:v>
                </c:pt>
                <c:pt idx="78">
                  <c:v>13.538751272600299</c:v>
                </c:pt>
                <c:pt idx="79">
                  <c:v>13.842301399337201</c:v>
                </c:pt>
                <c:pt idx="80">
                  <c:v>14.133921558040999</c:v>
                </c:pt>
                <c:pt idx="81">
                  <c:v>14.433005714995099</c:v>
                </c:pt>
                <c:pt idx="82">
                  <c:v>14.7201695351668</c:v>
                </c:pt>
                <c:pt idx="83">
                  <c:v>15.0085075230317</c:v>
                </c:pt>
                <c:pt idx="84">
                  <c:v>15.1677225110534</c:v>
                </c:pt>
                <c:pt idx="85">
                  <c:v>15.3109126350843</c:v>
                </c:pt>
                <c:pt idx="86">
                  <c:v>15.4687576153073</c:v>
                </c:pt>
                <c:pt idx="87">
                  <c:v>15.6208200115647</c:v>
                </c:pt>
                <c:pt idx="88">
                  <c:v>15.7835256187815</c:v>
                </c:pt>
                <c:pt idx="89">
                  <c:v>16.0591783160821</c:v>
                </c:pt>
                <c:pt idx="90">
                  <c:v>16.3413656274647</c:v>
                </c:pt>
                <c:pt idx="91">
                  <c:v>16.620672610080899</c:v>
                </c:pt>
                <c:pt idx="92">
                  <c:v>16.888596080345302</c:v>
                </c:pt>
                <c:pt idx="93">
                  <c:v>17.162991417933601</c:v>
                </c:pt>
                <c:pt idx="94">
                  <c:v>17.426152354534199</c:v>
                </c:pt>
                <c:pt idx="95">
                  <c:v>17.695621938891101</c:v>
                </c:pt>
                <c:pt idx="96">
                  <c:v>17.9619274434374</c:v>
                </c:pt>
                <c:pt idx="97">
                  <c:v>18.186580839266298</c:v>
                </c:pt>
                <c:pt idx="98">
                  <c:v>18.424736370287299</c:v>
                </c:pt>
                <c:pt idx="99">
                  <c:v>18.653255219179002</c:v>
                </c:pt>
                <c:pt idx="100">
                  <c:v>18.878917501835598</c:v>
                </c:pt>
                <c:pt idx="101">
                  <c:v>18.9933786004636</c:v>
                </c:pt>
                <c:pt idx="102">
                  <c:v>19.224354932168701</c:v>
                </c:pt>
                <c:pt idx="103">
                  <c:v>19.453113773939901</c:v>
                </c:pt>
                <c:pt idx="104">
                  <c:v>19.6725764291544</c:v>
                </c:pt>
                <c:pt idx="105">
                  <c:v>19.897383994132401</c:v>
                </c:pt>
                <c:pt idx="106">
                  <c:v>20.113043244867999</c:v>
                </c:pt>
                <c:pt idx="107">
                  <c:v>20.3339430688013</c:v>
                </c:pt>
                <c:pt idx="108">
                  <c:v>20.5527040547464</c:v>
                </c:pt>
                <c:pt idx="109">
                  <c:v>20.748488760308501</c:v>
                </c:pt>
                <c:pt idx="110">
                  <c:v>20.963405178310602</c:v>
                </c:pt>
                <c:pt idx="111">
                  <c:v>21.169555333936401</c:v>
                </c:pt>
                <c:pt idx="112">
                  <c:v>21.3806965866487</c:v>
                </c:pt>
                <c:pt idx="113">
                  <c:v>21.5823804959517</c:v>
                </c:pt>
                <c:pt idx="114">
                  <c:v>21.541972158494399</c:v>
                </c:pt>
                <c:pt idx="115">
                  <c:v>21.7488738040017</c:v>
                </c:pt>
                <c:pt idx="116">
                  <c:v>21.9473335747291</c:v>
                </c:pt>
                <c:pt idx="117">
                  <c:v>22.150597457860499</c:v>
                </c:pt>
                <c:pt idx="118">
                  <c:v>22.345566532067199</c:v>
                </c:pt>
                <c:pt idx="119">
                  <c:v>22.545254457087001</c:v>
                </c:pt>
                <c:pt idx="120">
                  <c:v>22.743142078981801</c:v>
                </c:pt>
                <c:pt idx="121">
                  <c:v>22.920159105715999</c:v>
                </c:pt>
                <c:pt idx="122">
                  <c:v>23.114468118785101</c:v>
                </c:pt>
                <c:pt idx="123">
                  <c:v>23.300849205136</c:v>
                </c:pt>
                <c:pt idx="124">
                  <c:v>23.491744014430701</c:v>
                </c:pt>
                <c:pt idx="125">
                  <c:v>23.674852349443899</c:v>
                </c:pt>
                <c:pt idx="126">
                  <c:v>23.858618860747601</c:v>
                </c:pt>
                <c:pt idx="127">
                  <c:v>23.9513344109216</c:v>
                </c:pt>
                <c:pt idx="128">
                  <c:v>24.040656325565202</c:v>
                </c:pt>
                <c:pt idx="129">
                  <c:v>24.132547506601298</c:v>
                </c:pt>
                <c:pt idx="130">
                  <c:v>24.2225537458005</c:v>
                </c:pt>
                <c:pt idx="131">
                  <c:v>24.404293933540199</c:v>
                </c:pt>
                <c:pt idx="132">
                  <c:v>24.584408125500001</c:v>
                </c:pt>
                <c:pt idx="133">
                  <c:v>24.7457082346391</c:v>
                </c:pt>
                <c:pt idx="134">
                  <c:v>24.9227739187243</c:v>
                </c:pt>
                <c:pt idx="135">
                  <c:v>25.092475829107901</c:v>
                </c:pt>
                <c:pt idx="136">
                  <c:v>25.266294271842501</c:v>
                </c:pt>
                <c:pt idx="137">
                  <c:v>25.4330356737286</c:v>
                </c:pt>
                <c:pt idx="138">
                  <c:v>25.603832069905401</c:v>
                </c:pt>
                <c:pt idx="139">
                  <c:v>25.7731168883689</c:v>
                </c:pt>
                <c:pt idx="140">
                  <c:v>25.935516937002699</c:v>
                </c:pt>
                <c:pt idx="141">
                  <c:v>26.101741478843099</c:v>
                </c:pt>
                <c:pt idx="142">
                  <c:v>26.2605452449971</c:v>
                </c:pt>
                <c:pt idx="143">
                  <c:v>26.342406647741502</c:v>
                </c:pt>
                <c:pt idx="144">
                  <c:v>26.423908192692799</c:v>
                </c:pt>
                <c:pt idx="145">
                  <c:v>26.499827532018902</c:v>
                </c:pt>
                <c:pt idx="146">
                  <c:v>26.580638151958802</c:v>
                </c:pt>
                <c:pt idx="147">
                  <c:v>26.6585047951571</c:v>
                </c:pt>
                <c:pt idx="148">
                  <c:v>26.738620461103</c:v>
                </c:pt>
                <c:pt idx="149">
                  <c:v>26.815818198917999</c:v>
                </c:pt>
                <c:pt idx="150">
                  <c:v>26.895246398976301</c:v>
                </c:pt>
                <c:pt idx="151">
                  <c:v>26.974272391928899</c:v>
                </c:pt>
                <c:pt idx="152">
                  <c:v>27.0504175488051</c:v>
                </c:pt>
                <c:pt idx="153">
                  <c:v>27.128763911577</c:v>
                </c:pt>
                <c:pt idx="154">
                  <c:v>27.2042586384926</c:v>
                </c:pt>
                <c:pt idx="155">
                  <c:v>27.2819365442164</c:v>
                </c:pt>
                <c:pt idx="156">
                  <c:v>27.359277528178701</c:v>
                </c:pt>
                <c:pt idx="157">
                  <c:v>27.428845861652299</c:v>
                </c:pt>
                <c:pt idx="158">
                  <c:v>27.5055507554248</c:v>
                </c:pt>
                <c:pt idx="159">
                  <c:v>27.579465619550401</c:v>
                </c:pt>
                <c:pt idx="160">
                  <c:v>27.655519903039501</c:v>
                </c:pt>
                <c:pt idx="161">
                  <c:v>27.7288085845205</c:v>
                </c:pt>
                <c:pt idx="162">
                  <c:v>27.804219350364001</c:v>
                </c:pt>
                <c:pt idx="163">
                  <c:v>27.879257423447999</c:v>
                </c:pt>
                <c:pt idx="164">
                  <c:v>27.9515647785935</c:v>
                </c:pt>
                <c:pt idx="165">
                  <c:v>28.0259669951018</c:v>
                </c:pt>
                <c:pt idx="166">
                  <c:v>28.097665593796702</c:v>
                </c:pt>
                <c:pt idx="167">
                  <c:v>28.171442210670602</c:v>
                </c:pt>
                <c:pt idx="168">
                  <c:v>28.244903527496199</c:v>
                </c:pt>
                <c:pt idx="169">
                  <c:v>28.310986140514402</c:v>
                </c:pt>
                <c:pt idx="170">
                  <c:v>28.383852221116602</c:v>
                </c:pt>
                <c:pt idx="171">
                  <c:v>28.4540723945954</c:v>
                </c:pt>
                <c:pt idx="172">
                  <c:v>28.526329691518502</c:v>
                </c:pt>
                <c:pt idx="173">
                  <c:v>28.595963955848902</c:v>
                </c:pt>
                <c:pt idx="174">
                  <c:v>28.667619139759498</c:v>
                </c:pt>
                <c:pt idx="175">
                  <c:v>28.738928683117798</c:v>
                </c:pt>
                <c:pt idx="176">
                  <c:v>28.807647943162301</c:v>
                </c:pt>
                <c:pt idx="177">
                  <c:v>28.878362759163799</c:v>
                </c:pt>
                <c:pt idx="178">
                  <c:v>28.946512446202998</c:v>
                </c:pt>
                <c:pt idx="179">
                  <c:v>29.0166419388793</c:v>
                </c:pt>
                <c:pt idx="180">
                  <c:v>29.086476436108899</c:v>
                </c:pt>
                <c:pt idx="181">
                  <c:v>29.149300572441302</c:v>
                </c:pt>
                <c:pt idx="182">
                  <c:v>29.218578172487099</c:v>
                </c:pt>
                <c:pt idx="183">
                  <c:v>29.285344651191402</c:v>
                </c:pt>
                <c:pt idx="184">
                  <c:v>29.354052685179401</c:v>
                </c:pt>
                <c:pt idx="185">
                  <c:v>29.420271000103899</c:v>
                </c:pt>
                <c:pt idx="186">
                  <c:v>29.488415710586899</c:v>
                </c:pt>
                <c:pt idx="187">
                  <c:v>29.556239553839202</c:v>
                </c:pt>
                <c:pt idx="188">
                  <c:v>29.621604389135499</c:v>
                </c:pt>
                <c:pt idx="189">
                  <c:v>29.6888719590292</c:v>
                </c:pt>
                <c:pt idx="190">
                  <c:v>29.7537038790393</c:v>
                </c:pt>
                <c:pt idx="191">
                  <c:v>29.8204237923085</c:v>
                </c:pt>
                <c:pt idx="192">
                  <c:v>29.8868676892649</c:v>
                </c:pt>
                <c:pt idx="193">
                  <c:v>29.948776366763401</c:v>
                </c:pt>
                <c:pt idx="194">
                  <c:v>30.0146904013164</c:v>
                </c:pt>
                <c:pt idx="195">
                  <c:v>30.078219632568</c:v>
                </c:pt>
                <c:pt idx="196">
                  <c:v>30.143600814276599</c:v>
                </c:pt>
                <c:pt idx="197">
                  <c:v>30.206617206126701</c:v>
                </c:pt>
                <c:pt idx="198">
                  <c:v>30.271471355306598</c:v>
                </c:pt>
                <c:pt idx="199">
                  <c:v>30.336027368066802</c:v>
                </c:pt>
                <c:pt idx="200">
                  <c:v>30.3982473679267</c:v>
                </c:pt>
                <c:pt idx="201">
                  <c:v>30.462283029241402</c:v>
                </c:pt>
                <c:pt idx="202">
                  <c:v>30.524004377582202</c:v>
                </c:pt>
                <c:pt idx="203">
                  <c:v>30.587527580298801</c:v>
                </c:pt>
                <c:pt idx="204">
                  <c:v>30.6507924954632</c:v>
                </c:pt>
                <c:pt idx="205">
                  <c:v>30.707714187163099</c:v>
                </c:pt>
                <c:pt idx="206">
                  <c:v>30.7704914718806</c:v>
                </c:pt>
                <c:pt idx="207">
                  <c:v>30.831001679855301</c:v>
                </c:pt>
                <c:pt idx="208">
                  <c:v>30.893280194242699</c:v>
                </c:pt>
                <c:pt idx="209">
                  <c:v>30.9533103491591</c:v>
                </c:pt>
                <c:pt idx="210">
                  <c:v>31.0150955076885</c:v>
                </c:pt>
                <c:pt idx="211">
                  <c:v>31.076603288854301</c:v>
                </c:pt>
                <c:pt idx="212">
                  <c:v>31.135889673811601</c:v>
                </c:pt>
                <c:pt idx="213">
                  <c:v>31.196910399607098</c:v>
                </c:pt>
                <c:pt idx="214">
                  <c:v>31.255729908105302</c:v>
                </c:pt>
                <c:pt idx="215">
                  <c:v>31.3162708111279</c:v>
                </c:pt>
                <c:pt idx="216">
                  <c:v>31.376569860689798</c:v>
                </c:pt>
                <c:pt idx="217">
                  <c:v>31.430826747140301</c:v>
                </c:pt>
                <c:pt idx="218">
                  <c:v>31.490669164279701</c:v>
                </c:pt>
                <c:pt idx="219">
                  <c:v>31.548354547190002</c:v>
                </c:pt>
                <c:pt idx="220">
                  <c:v>31.607729859943099</c:v>
                </c:pt>
                <c:pt idx="221">
                  <c:v>31.6649656471665</c:v>
                </c:pt>
                <c:pt idx="222">
                  <c:v>31.723878884246499</c:v>
                </c:pt>
                <c:pt idx="223">
                  <c:v>31.782533756706901</c:v>
                </c:pt>
                <c:pt idx="224">
                  <c:v>31.8390743687422</c:v>
                </c:pt>
                <c:pt idx="225">
                  <c:v>31.897273085277298</c:v>
                </c:pt>
                <c:pt idx="226">
                  <c:v>31.953376322754899</c:v>
                </c:pt>
                <c:pt idx="227">
                  <c:v>32.011125514147899</c:v>
                </c:pt>
                <c:pt idx="228">
                  <c:v>32.068648106235401</c:v>
                </c:pt>
                <c:pt idx="229">
                  <c:v>32.120410256289397</c:v>
                </c:pt>
                <c:pt idx="230">
                  <c:v>32.177504984028602</c:v>
                </c:pt>
                <c:pt idx="231">
                  <c:v>32.232545574360401</c:v>
                </c:pt>
                <c:pt idx="232">
                  <c:v>32.289202580096898</c:v>
                </c:pt>
                <c:pt idx="233">
                  <c:v>32.343821833145299</c:v>
                </c:pt>
                <c:pt idx="234">
                  <c:v>32.400045782494601</c:v>
                </c:pt>
                <c:pt idx="235">
                  <c:v>32.456028791389002</c:v>
                </c:pt>
                <c:pt idx="236">
                  <c:v>32.509997727709703</c:v>
                </c:pt>
                <c:pt idx="237">
                  <c:v>32.565553227551497</c:v>
                </c:pt>
                <c:pt idx="238">
                  <c:v>32.619112152519001</c:v>
                </c:pt>
                <c:pt idx="239">
                  <c:v>32.674246226500202</c:v>
                </c:pt>
                <c:pt idx="240">
                  <c:v>32.729167847096399</c:v>
                </c:pt>
                <c:pt idx="241">
                  <c:v>32.780354816434503</c:v>
                </c:pt>
                <c:pt idx="242">
                  <c:v>32.834868483962502</c:v>
                </c:pt>
                <c:pt idx="243">
                  <c:v>32.887424531972698</c:v>
                </c:pt>
                <c:pt idx="244">
                  <c:v>32.941527791092099</c:v>
                </c:pt>
                <c:pt idx="245">
                  <c:v>32.993688769199501</c:v>
                </c:pt>
                <c:pt idx="246">
                  <c:v>33.047385945251001</c:v>
                </c:pt>
                <c:pt idx="247">
                  <c:v>33.1008581996064</c:v>
                </c:pt>
                <c:pt idx="248">
                  <c:v>33.1524103729434</c:v>
                </c:pt>
                <c:pt idx="249">
                  <c:v>33.205481731690703</c:v>
                </c:pt>
                <c:pt idx="250">
                  <c:v>33.256649325194303</c:v>
                </c:pt>
                <c:pt idx="251">
                  <c:v>33.309325372764498</c:v>
                </c:pt>
                <c:pt idx="252">
                  <c:v>33.361802113105597</c:v>
                </c:pt>
                <c:pt idx="253">
                  <c:v>33.409030033540098</c:v>
                </c:pt>
                <c:pt idx="254">
                  <c:v>33.4611303744</c:v>
                </c:pt>
                <c:pt idx="255">
                  <c:v>33.5113631980227</c:v>
                </c:pt>
                <c:pt idx="256">
                  <c:v>33.563078373599801</c:v>
                </c:pt>
                <c:pt idx="257">
                  <c:v>33.612940402989501</c:v>
                </c:pt>
                <c:pt idx="258">
                  <c:v>33.664274423069998</c:v>
                </c:pt>
                <c:pt idx="259">
                  <c:v>33.7153981892112</c:v>
                </c:pt>
                <c:pt idx="260">
                  <c:v>33.764689636729699</c:v>
                </c:pt>
                <c:pt idx="261">
                  <c:v>33.8154370932115</c:v>
                </c:pt>
                <c:pt idx="262">
                  <c:v>33.864367463645898</c:v>
                </c:pt>
                <c:pt idx="263">
                  <c:v>33.914743742800297</c:v>
                </c:pt>
                <c:pt idx="264">
                  <c:v>33.964932863577303</c:v>
                </c:pt>
                <c:pt idx="265">
                  <c:v>34.0101049247614</c:v>
                </c:pt>
                <c:pt idx="266">
                  <c:v>34.059940554541001</c:v>
                </c:pt>
                <c:pt idx="267">
                  <c:v>34.107993077639499</c:v>
                </c:pt>
                <c:pt idx="268">
                  <c:v>34.157466935910499</c:v>
                </c:pt>
                <c:pt idx="269">
                  <c:v>34.205171161976402</c:v>
                </c:pt>
                <c:pt idx="270">
                  <c:v>34.254286966136398</c:v>
                </c:pt>
                <c:pt idx="271">
                  <c:v>34.303205995185699</c:v>
                </c:pt>
                <c:pt idx="272">
                  <c:v>34.350374944513298</c:v>
                </c:pt>
                <c:pt idx="273">
                  <c:v>34.398940442424603</c:v>
                </c:pt>
                <c:pt idx="274">
                  <c:v>34.445770097373099</c:v>
                </c:pt>
                <c:pt idx="275">
                  <c:v>34.4939867857914</c:v>
                </c:pt>
                <c:pt idx="276">
                  <c:v>34.5420275758743</c:v>
                </c:pt>
                <c:pt idx="277">
                  <c:v>34.5852688279967</c:v>
                </c:pt>
                <c:pt idx="278">
                  <c:v>34.632977360008802</c:v>
                </c:pt>
                <c:pt idx="279">
                  <c:v>34.678981926449197</c:v>
                </c:pt>
                <c:pt idx="280">
                  <c:v>34.726350370353302</c:v>
                </c:pt>
                <c:pt idx="281">
                  <c:v>34.772027492510702</c:v>
                </c:pt>
                <c:pt idx="282">
                  <c:v>34.819059295484799</c:v>
                </c:pt>
                <c:pt idx="283">
                  <c:v>34.865906722902501</c:v>
                </c:pt>
                <c:pt idx="284">
                  <c:v>34.911081197035202</c:v>
                </c:pt>
                <c:pt idx="285">
                  <c:v>34.957596203128602</c:v>
                </c:pt>
                <c:pt idx="286">
                  <c:v>35.002451576585599</c:v>
                </c:pt>
                <c:pt idx="287">
                  <c:v>35.048638509856403</c:v>
                </c:pt>
                <c:pt idx="288">
                  <c:v>35.094659984117698</c:v>
                </c:pt>
                <c:pt idx="289">
                  <c:v>35.137563289655802</c:v>
                </c:pt>
                <c:pt idx="290">
                  <c:v>35.183266920359301</c:v>
                </c:pt>
                <c:pt idx="291">
                  <c:v>35.227341044068702</c:v>
                </c:pt>
                <c:pt idx="292">
                  <c:v>35.272724744388803</c:v>
                </c:pt>
                <c:pt idx="293">
                  <c:v>35.316490809946501</c:v>
                </c:pt>
                <c:pt idx="294">
                  <c:v>35.361557777131203</c:v>
                </c:pt>
                <c:pt idx="295">
                  <c:v>35.406451816050001</c:v>
                </c:pt>
                <c:pt idx="296">
                  <c:v>35.449745486478498</c:v>
                </c:pt>
                <c:pt idx="297">
                  <c:v>35.494326727167802</c:v>
                </c:pt>
                <c:pt idx="298">
                  <c:v>35.537320074484697</c:v>
                </c:pt>
                <c:pt idx="299">
                  <c:v>35.581592525524201</c:v>
                </c:pt>
                <c:pt idx="300">
                  <c:v>35.625709225716498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9-4A73-8D33-80C05B9CC3D5}"/>
            </c:ext>
          </c:extLst>
        </c:ser>
        <c:ser>
          <c:idx val="1"/>
          <c:order val="1"/>
          <c:tx>
            <c:strRef>
              <c:f>HID_CEA_01!$F$8:$F$9</c:f>
              <c:strCache>
                <c:ptCount val="2"/>
                <c:pt idx="0">
                  <c:v>C mass of forest debris</c:v>
                </c:pt>
                <c:pt idx="1">
                  <c:v>tN2O/ha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HID_CEA_01!$A$10:$A$313</c:f>
              <c:numCache>
                <c:formatCode>General</c:formatCode>
                <c:ptCount val="304"/>
                <c:pt idx="0">
                  <c:v>2012</c:v>
                </c:pt>
                <c:pt idx="1">
                  <c:v>2012</c:v>
                </c:pt>
                <c:pt idx="2">
                  <c:v>2012</c:v>
                </c:pt>
                <c:pt idx="3">
                  <c:v>2012</c:v>
                </c:pt>
                <c:pt idx="4">
                  <c:v>2012</c:v>
                </c:pt>
                <c:pt idx="5">
                  <c:v>2012</c:v>
                </c:pt>
                <c:pt idx="6">
                  <c:v>2012</c:v>
                </c:pt>
                <c:pt idx="7">
                  <c:v>2012</c:v>
                </c:pt>
                <c:pt idx="8">
                  <c:v>2012</c:v>
                </c:pt>
                <c:pt idx="9">
                  <c:v>2012</c:v>
                </c:pt>
                <c:pt idx="10">
                  <c:v>2012</c:v>
                </c:pt>
                <c:pt idx="11">
                  <c:v>2012</c:v>
                </c:pt>
                <c:pt idx="12">
                  <c:v>2013</c:v>
                </c:pt>
                <c:pt idx="13">
                  <c:v>2013</c:v>
                </c:pt>
                <c:pt idx="14">
                  <c:v>2013</c:v>
                </c:pt>
                <c:pt idx="15">
                  <c:v>2013</c:v>
                </c:pt>
                <c:pt idx="16">
                  <c:v>2013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2013</c:v>
                </c:pt>
                <c:pt idx="22">
                  <c:v>2013</c:v>
                </c:pt>
                <c:pt idx="23">
                  <c:v>2013</c:v>
                </c:pt>
                <c:pt idx="24">
                  <c:v>2014</c:v>
                </c:pt>
                <c:pt idx="25">
                  <c:v>2014</c:v>
                </c:pt>
                <c:pt idx="26">
                  <c:v>2014</c:v>
                </c:pt>
                <c:pt idx="27">
                  <c:v>2014</c:v>
                </c:pt>
                <c:pt idx="28">
                  <c:v>2014</c:v>
                </c:pt>
                <c:pt idx="29">
                  <c:v>2014</c:v>
                </c:pt>
                <c:pt idx="30">
                  <c:v>2014</c:v>
                </c:pt>
                <c:pt idx="31">
                  <c:v>2014</c:v>
                </c:pt>
                <c:pt idx="32">
                  <c:v>2014</c:v>
                </c:pt>
                <c:pt idx="33">
                  <c:v>2014</c:v>
                </c:pt>
                <c:pt idx="34">
                  <c:v>2014</c:v>
                </c:pt>
                <c:pt idx="35">
                  <c:v>2014</c:v>
                </c:pt>
                <c:pt idx="36">
                  <c:v>2015</c:v>
                </c:pt>
                <c:pt idx="37">
                  <c:v>2015</c:v>
                </c:pt>
                <c:pt idx="38">
                  <c:v>2015</c:v>
                </c:pt>
                <c:pt idx="39">
                  <c:v>2015</c:v>
                </c:pt>
                <c:pt idx="40">
                  <c:v>2015</c:v>
                </c:pt>
                <c:pt idx="41">
                  <c:v>2015</c:v>
                </c:pt>
                <c:pt idx="42">
                  <c:v>2015</c:v>
                </c:pt>
                <c:pt idx="43">
                  <c:v>2015</c:v>
                </c:pt>
                <c:pt idx="44">
                  <c:v>2015</c:v>
                </c:pt>
                <c:pt idx="45">
                  <c:v>2015</c:v>
                </c:pt>
                <c:pt idx="46">
                  <c:v>2015</c:v>
                </c:pt>
                <c:pt idx="47">
                  <c:v>2015</c:v>
                </c:pt>
                <c:pt idx="48">
                  <c:v>2016</c:v>
                </c:pt>
                <c:pt idx="49">
                  <c:v>2016</c:v>
                </c:pt>
                <c:pt idx="50">
                  <c:v>2016</c:v>
                </c:pt>
                <c:pt idx="51">
                  <c:v>2016</c:v>
                </c:pt>
                <c:pt idx="52">
                  <c:v>2016</c:v>
                </c:pt>
                <c:pt idx="53">
                  <c:v>2016</c:v>
                </c:pt>
                <c:pt idx="54">
                  <c:v>2016</c:v>
                </c:pt>
                <c:pt idx="55">
                  <c:v>2016</c:v>
                </c:pt>
                <c:pt idx="56">
                  <c:v>2016</c:v>
                </c:pt>
                <c:pt idx="57">
                  <c:v>2016</c:v>
                </c:pt>
                <c:pt idx="58">
                  <c:v>2016</c:v>
                </c:pt>
                <c:pt idx="59">
                  <c:v>2016</c:v>
                </c:pt>
                <c:pt idx="60">
                  <c:v>2017</c:v>
                </c:pt>
                <c:pt idx="61">
                  <c:v>2017</c:v>
                </c:pt>
                <c:pt idx="62">
                  <c:v>2017</c:v>
                </c:pt>
                <c:pt idx="63">
                  <c:v>2017</c:v>
                </c:pt>
                <c:pt idx="64">
                  <c:v>2017</c:v>
                </c:pt>
                <c:pt idx="65">
                  <c:v>2017</c:v>
                </c:pt>
                <c:pt idx="66">
                  <c:v>2017</c:v>
                </c:pt>
                <c:pt idx="67">
                  <c:v>2017</c:v>
                </c:pt>
                <c:pt idx="68">
                  <c:v>2017</c:v>
                </c:pt>
                <c:pt idx="69">
                  <c:v>2017</c:v>
                </c:pt>
                <c:pt idx="70">
                  <c:v>2017</c:v>
                </c:pt>
                <c:pt idx="71">
                  <c:v>2017</c:v>
                </c:pt>
                <c:pt idx="72">
                  <c:v>2018</c:v>
                </c:pt>
                <c:pt idx="73">
                  <c:v>2018</c:v>
                </c:pt>
                <c:pt idx="74">
                  <c:v>2018</c:v>
                </c:pt>
                <c:pt idx="75">
                  <c:v>2018</c:v>
                </c:pt>
                <c:pt idx="76">
                  <c:v>2018</c:v>
                </c:pt>
                <c:pt idx="77">
                  <c:v>2018</c:v>
                </c:pt>
                <c:pt idx="78">
                  <c:v>2018</c:v>
                </c:pt>
                <c:pt idx="79">
                  <c:v>2018</c:v>
                </c:pt>
                <c:pt idx="80">
                  <c:v>2018</c:v>
                </c:pt>
                <c:pt idx="81">
                  <c:v>2018</c:v>
                </c:pt>
                <c:pt idx="82">
                  <c:v>2018</c:v>
                </c:pt>
                <c:pt idx="83">
                  <c:v>2018</c:v>
                </c:pt>
                <c:pt idx="84">
                  <c:v>2019</c:v>
                </c:pt>
                <c:pt idx="85">
                  <c:v>2019</c:v>
                </c:pt>
                <c:pt idx="86">
                  <c:v>2019</c:v>
                </c:pt>
                <c:pt idx="87">
                  <c:v>2019</c:v>
                </c:pt>
                <c:pt idx="88">
                  <c:v>2019</c:v>
                </c:pt>
                <c:pt idx="89">
                  <c:v>2019</c:v>
                </c:pt>
                <c:pt idx="90">
                  <c:v>2019</c:v>
                </c:pt>
                <c:pt idx="91">
                  <c:v>2019</c:v>
                </c:pt>
                <c:pt idx="92">
                  <c:v>2019</c:v>
                </c:pt>
                <c:pt idx="93">
                  <c:v>2019</c:v>
                </c:pt>
                <c:pt idx="94">
                  <c:v>2019</c:v>
                </c:pt>
                <c:pt idx="95">
                  <c:v>2019</c:v>
                </c:pt>
                <c:pt idx="96">
                  <c:v>2020</c:v>
                </c:pt>
                <c:pt idx="97">
                  <c:v>2020</c:v>
                </c:pt>
                <c:pt idx="98">
                  <c:v>2020</c:v>
                </c:pt>
                <c:pt idx="99">
                  <c:v>2020</c:v>
                </c:pt>
                <c:pt idx="100">
                  <c:v>2020</c:v>
                </c:pt>
                <c:pt idx="101">
                  <c:v>2020</c:v>
                </c:pt>
                <c:pt idx="102">
                  <c:v>2020</c:v>
                </c:pt>
                <c:pt idx="103">
                  <c:v>2020</c:v>
                </c:pt>
                <c:pt idx="104">
                  <c:v>2020</c:v>
                </c:pt>
                <c:pt idx="105">
                  <c:v>2020</c:v>
                </c:pt>
                <c:pt idx="106">
                  <c:v>2020</c:v>
                </c:pt>
                <c:pt idx="107">
                  <c:v>2020</c:v>
                </c:pt>
                <c:pt idx="108">
                  <c:v>2021</c:v>
                </c:pt>
                <c:pt idx="109">
                  <c:v>2021</c:v>
                </c:pt>
                <c:pt idx="110">
                  <c:v>2021</c:v>
                </c:pt>
                <c:pt idx="111">
                  <c:v>2021</c:v>
                </c:pt>
                <c:pt idx="112">
                  <c:v>2021</c:v>
                </c:pt>
                <c:pt idx="113">
                  <c:v>2021</c:v>
                </c:pt>
                <c:pt idx="114">
                  <c:v>2021</c:v>
                </c:pt>
                <c:pt idx="115">
                  <c:v>2021</c:v>
                </c:pt>
                <c:pt idx="116">
                  <c:v>2021</c:v>
                </c:pt>
                <c:pt idx="117">
                  <c:v>2021</c:v>
                </c:pt>
                <c:pt idx="118">
                  <c:v>2021</c:v>
                </c:pt>
                <c:pt idx="119">
                  <c:v>2021</c:v>
                </c:pt>
                <c:pt idx="120">
                  <c:v>2022</c:v>
                </c:pt>
                <c:pt idx="121">
                  <c:v>2022</c:v>
                </c:pt>
                <c:pt idx="122">
                  <c:v>2022</c:v>
                </c:pt>
                <c:pt idx="123">
                  <c:v>2022</c:v>
                </c:pt>
                <c:pt idx="124">
                  <c:v>2022</c:v>
                </c:pt>
                <c:pt idx="125">
                  <c:v>2022</c:v>
                </c:pt>
                <c:pt idx="126">
                  <c:v>2022</c:v>
                </c:pt>
                <c:pt idx="127">
                  <c:v>2022</c:v>
                </c:pt>
                <c:pt idx="128">
                  <c:v>2022</c:v>
                </c:pt>
                <c:pt idx="129">
                  <c:v>2022</c:v>
                </c:pt>
                <c:pt idx="130">
                  <c:v>2022</c:v>
                </c:pt>
                <c:pt idx="131">
                  <c:v>2022</c:v>
                </c:pt>
                <c:pt idx="132">
                  <c:v>2023</c:v>
                </c:pt>
                <c:pt idx="133">
                  <c:v>2023</c:v>
                </c:pt>
                <c:pt idx="134">
                  <c:v>2023</c:v>
                </c:pt>
                <c:pt idx="135">
                  <c:v>2023</c:v>
                </c:pt>
                <c:pt idx="136">
                  <c:v>2023</c:v>
                </c:pt>
                <c:pt idx="137">
                  <c:v>2023</c:v>
                </c:pt>
                <c:pt idx="138">
                  <c:v>2023</c:v>
                </c:pt>
                <c:pt idx="139">
                  <c:v>2023</c:v>
                </c:pt>
                <c:pt idx="140">
                  <c:v>2023</c:v>
                </c:pt>
                <c:pt idx="141">
                  <c:v>2023</c:v>
                </c:pt>
                <c:pt idx="142">
                  <c:v>2023</c:v>
                </c:pt>
                <c:pt idx="143">
                  <c:v>2023</c:v>
                </c:pt>
                <c:pt idx="144">
                  <c:v>2024</c:v>
                </c:pt>
                <c:pt idx="145">
                  <c:v>2024</c:v>
                </c:pt>
                <c:pt idx="146">
                  <c:v>2024</c:v>
                </c:pt>
                <c:pt idx="147">
                  <c:v>2024</c:v>
                </c:pt>
                <c:pt idx="148">
                  <c:v>2024</c:v>
                </c:pt>
                <c:pt idx="149">
                  <c:v>2024</c:v>
                </c:pt>
                <c:pt idx="150">
                  <c:v>2024</c:v>
                </c:pt>
                <c:pt idx="151">
                  <c:v>2024</c:v>
                </c:pt>
                <c:pt idx="152">
                  <c:v>2024</c:v>
                </c:pt>
                <c:pt idx="153">
                  <c:v>2024</c:v>
                </c:pt>
                <c:pt idx="154">
                  <c:v>2024</c:v>
                </c:pt>
                <c:pt idx="155">
                  <c:v>2024</c:v>
                </c:pt>
                <c:pt idx="156">
                  <c:v>2025</c:v>
                </c:pt>
                <c:pt idx="157">
                  <c:v>2025</c:v>
                </c:pt>
                <c:pt idx="158">
                  <c:v>2025</c:v>
                </c:pt>
                <c:pt idx="159">
                  <c:v>2025</c:v>
                </c:pt>
                <c:pt idx="160">
                  <c:v>2025</c:v>
                </c:pt>
                <c:pt idx="161">
                  <c:v>2025</c:v>
                </c:pt>
                <c:pt idx="162">
                  <c:v>2025</c:v>
                </c:pt>
                <c:pt idx="163">
                  <c:v>2025</c:v>
                </c:pt>
                <c:pt idx="164">
                  <c:v>2025</c:v>
                </c:pt>
                <c:pt idx="165">
                  <c:v>2025</c:v>
                </c:pt>
                <c:pt idx="166">
                  <c:v>2025</c:v>
                </c:pt>
                <c:pt idx="167">
                  <c:v>2025</c:v>
                </c:pt>
                <c:pt idx="168">
                  <c:v>2026</c:v>
                </c:pt>
                <c:pt idx="169">
                  <c:v>2026</c:v>
                </c:pt>
                <c:pt idx="170">
                  <c:v>2026</c:v>
                </c:pt>
                <c:pt idx="171">
                  <c:v>2026</c:v>
                </c:pt>
                <c:pt idx="172">
                  <c:v>2026</c:v>
                </c:pt>
                <c:pt idx="173">
                  <c:v>2026</c:v>
                </c:pt>
                <c:pt idx="174">
                  <c:v>2026</c:v>
                </c:pt>
                <c:pt idx="175">
                  <c:v>2026</c:v>
                </c:pt>
                <c:pt idx="176">
                  <c:v>2026</c:v>
                </c:pt>
                <c:pt idx="177">
                  <c:v>2026</c:v>
                </c:pt>
                <c:pt idx="178">
                  <c:v>2026</c:v>
                </c:pt>
                <c:pt idx="179">
                  <c:v>2026</c:v>
                </c:pt>
                <c:pt idx="180">
                  <c:v>2027</c:v>
                </c:pt>
                <c:pt idx="181">
                  <c:v>2027</c:v>
                </c:pt>
                <c:pt idx="182">
                  <c:v>2027</c:v>
                </c:pt>
                <c:pt idx="183">
                  <c:v>2027</c:v>
                </c:pt>
                <c:pt idx="184">
                  <c:v>2027</c:v>
                </c:pt>
                <c:pt idx="185">
                  <c:v>2027</c:v>
                </c:pt>
                <c:pt idx="186">
                  <c:v>2027</c:v>
                </c:pt>
                <c:pt idx="187">
                  <c:v>2027</c:v>
                </c:pt>
                <c:pt idx="188">
                  <c:v>2027</c:v>
                </c:pt>
                <c:pt idx="189">
                  <c:v>2027</c:v>
                </c:pt>
                <c:pt idx="190">
                  <c:v>2027</c:v>
                </c:pt>
                <c:pt idx="191">
                  <c:v>2027</c:v>
                </c:pt>
                <c:pt idx="192">
                  <c:v>2028</c:v>
                </c:pt>
                <c:pt idx="193">
                  <c:v>2028</c:v>
                </c:pt>
                <c:pt idx="194">
                  <c:v>2028</c:v>
                </c:pt>
                <c:pt idx="195">
                  <c:v>2028</c:v>
                </c:pt>
                <c:pt idx="196">
                  <c:v>2028</c:v>
                </c:pt>
                <c:pt idx="197">
                  <c:v>2028</c:v>
                </c:pt>
                <c:pt idx="198">
                  <c:v>2028</c:v>
                </c:pt>
                <c:pt idx="199">
                  <c:v>2028</c:v>
                </c:pt>
                <c:pt idx="200">
                  <c:v>2028</c:v>
                </c:pt>
                <c:pt idx="201">
                  <c:v>2028</c:v>
                </c:pt>
                <c:pt idx="202">
                  <c:v>2028</c:v>
                </c:pt>
                <c:pt idx="203">
                  <c:v>2028</c:v>
                </c:pt>
                <c:pt idx="204">
                  <c:v>2029</c:v>
                </c:pt>
                <c:pt idx="205">
                  <c:v>2029</c:v>
                </c:pt>
                <c:pt idx="206">
                  <c:v>2029</c:v>
                </c:pt>
                <c:pt idx="207">
                  <c:v>2029</c:v>
                </c:pt>
                <c:pt idx="208">
                  <c:v>2029</c:v>
                </c:pt>
                <c:pt idx="209">
                  <c:v>2029</c:v>
                </c:pt>
                <c:pt idx="210">
                  <c:v>2029</c:v>
                </c:pt>
                <c:pt idx="211">
                  <c:v>2029</c:v>
                </c:pt>
                <c:pt idx="212">
                  <c:v>2029</c:v>
                </c:pt>
                <c:pt idx="213">
                  <c:v>2029</c:v>
                </c:pt>
                <c:pt idx="214">
                  <c:v>2029</c:v>
                </c:pt>
                <c:pt idx="215">
                  <c:v>2029</c:v>
                </c:pt>
                <c:pt idx="216">
                  <c:v>2030</c:v>
                </c:pt>
                <c:pt idx="217">
                  <c:v>2030</c:v>
                </c:pt>
                <c:pt idx="218">
                  <c:v>2030</c:v>
                </c:pt>
                <c:pt idx="219">
                  <c:v>2030</c:v>
                </c:pt>
                <c:pt idx="220">
                  <c:v>2030</c:v>
                </c:pt>
                <c:pt idx="221">
                  <c:v>2030</c:v>
                </c:pt>
                <c:pt idx="222">
                  <c:v>2030</c:v>
                </c:pt>
                <c:pt idx="223">
                  <c:v>2030</c:v>
                </c:pt>
                <c:pt idx="224">
                  <c:v>2030</c:v>
                </c:pt>
                <c:pt idx="225">
                  <c:v>2030</c:v>
                </c:pt>
                <c:pt idx="226">
                  <c:v>2030</c:v>
                </c:pt>
                <c:pt idx="227">
                  <c:v>2030</c:v>
                </c:pt>
                <c:pt idx="228">
                  <c:v>2031</c:v>
                </c:pt>
                <c:pt idx="229">
                  <c:v>2031</c:v>
                </c:pt>
                <c:pt idx="230">
                  <c:v>2031</c:v>
                </c:pt>
                <c:pt idx="231">
                  <c:v>2031</c:v>
                </c:pt>
                <c:pt idx="232">
                  <c:v>2031</c:v>
                </c:pt>
                <c:pt idx="233">
                  <c:v>2031</c:v>
                </c:pt>
                <c:pt idx="234">
                  <c:v>2031</c:v>
                </c:pt>
                <c:pt idx="235">
                  <c:v>2031</c:v>
                </c:pt>
                <c:pt idx="236">
                  <c:v>2031</c:v>
                </c:pt>
                <c:pt idx="237">
                  <c:v>2031</c:v>
                </c:pt>
                <c:pt idx="238">
                  <c:v>2031</c:v>
                </c:pt>
                <c:pt idx="239">
                  <c:v>2031</c:v>
                </c:pt>
                <c:pt idx="240">
                  <c:v>2032</c:v>
                </c:pt>
                <c:pt idx="241">
                  <c:v>2032</c:v>
                </c:pt>
                <c:pt idx="242">
                  <c:v>2032</c:v>
                </c:pt>
                <c:pt idx="243">
                  <c:v>2032</c:v>
                </c:pt>
                <c:pt idx="244">
                  <c:v>2032</c:v>
                </c:pt>
                <c:pt idx="245">
                  <c:v>2032</c:v>
                </c:pt>
                <c:pt idx="246">
                  <c:v>2032</c:v>
                </c:pt>
                <c:pt idx="247">
                  <c:v>2032</c:v>
                </c:pt>
                <c:pt idx="248">
                  <c:v>2032</c:v>
                </c:pt>
                <c:pt idx="249">
                  <c:v>2032</c:v>
                </c:pt>
                <c:pt idx="250">
                  <c:v>2032</c:v>
                </c:pt>
                <c:pt idx="251">
                  <c:v>2032</c:v>
                </c:pt>
                <c:pt idx="252">
                  <c:v>2033</c:v>
                </c:pt>
                <c:pt idx="253">
                  <c:v>2033</c:v>
                </c:pt>
                <c:pt idx="254">
                  <c:v>2033</c:v>
                </c:pt>
                <c:pt idx="255">
                  <c:v>2033</c:v>
                </c:pt>
                <c:pt idx="256">
                  <c:v>2033</c:v>
                </c:pt>
                <c:pt idx="257">
                  <c:v>2033</c:v>
                </c:pt>
                <c:pt idx="258">
                  <c:v>2033</c:v>
                </c:pt>
                <c:pt idx="259">
                  <c:v>2033</c:v>
                </c:pt>
                <c:pt idx="260">
                  <c:v>2033</c:v>
                </c:pt>
                <c:pt idx="261">
                  <c:v>2033</c:v>
                </c:pt>
                <c:pt idx="262">
                  <c:v>2033</c:v>
                </c:pt>
                <c:pt idx="263">
                  <c:v>2033</c:v>
                </c:pt>
                <c:pt idx="264">
                  <c:v>2034</c:v>
                </c:pt>
                <c:pt idx="265">
                  <c:v>2034</c:v>
                </c:pt>
                <c:pt idx="266">
                  <c:v>2034</c:v>
                </c:pt>
                <c:pt idx="267">
                  <c:v>2034</c:v>
                </c:pt>
                <c:pt idx="268">
                  <c:v>2034</c:v>
                </c:pt>
                <c:pt idx="269">
                  <c:v>2034</c:v>
                </c:pt>
                <c:pt idx="270">
                  <c:v>2034</c:v>
                </c:pt>
                <c:pt idx="271">
                  <c:v>2034</c:v>
                </c:pt>
                <c:pt idx="272">
                  <c:v>2034</c:v>
                </c:pt>
                <c:pt idx="273">
                  <c:v>2034</c:v>
                </c:pt>
                <c:pt idx="274">
                  <c:v>2034</c:v>
                </c:pt>
                <c:pt idx="275">
                  <c:v>2034</c:v>
                </c:pt>
                <c:pt idx="276">
                  <c:v>2035</c:v>
                </c:pt>
                <c:pt idx="277">
                  <c:v>2035</c:v>
                </c:pt>
                <c:pt idx="278">
                  <c:v>2035</c:v>
                </c:pt>
                <c:pt idx="279">
                  <c:v>2035</c:v>
                </c:pt>
                <c:pt idx="280">
                  <c:v>2035</c:v>
                </c:pt>
                <c:pt idx="281">
                  <c:v>2035</c:v>
                </c:pt>
                <c:pt idx="282">
                  <c:v>2035</c:v>
                </c:pt>
                <c:pt idx="283">
                  <c:v>2035</c:v>
                </c:pt>
                <c:pt idx="284">
                  <c:v>2035</c:v>
                </c:pt>
                <c:pt idx="285">
                  <c:v>2035</c:v>
                </c:pt>
                <c:pt idx="286">
                  <c:v>2035</c:v>
                </c:pt>
                <c:pt idx="287">
                  <c:v>2035</c:v>
                </c:pt>
                <c:pt idx="288">
                  <c:v>2036</c:v>
                </c:pt>
                <c:pt idx="289">
                  <c:v>2036</c:v>
                </c:pt>
                <c:pt idx="290">
                  <c:v>2036</c:v>
                </c:pt>
                <c:pt idx="291">
                  <c:v>2036</c:v>
                </c:pt>
                <c:pt idx="292">
                  <c:v>2036</c:v>
                </c:pt>
                <c:pt idx="293">
                  <c:v>2036</c:v>
                </c:pt>
                <c:pt idx="294">
                  <c:v>2036</c:v>
                </c:pt>
                <c:pt idx="295">
                  <c:v>2036</c:v>
                </c:pt>
                <c:pt idx="296">
                  <c:v>2036</c:v>
                </c:pt>
                <c:pt idx="297">
                  <c:v>2036</c:v>
                </c:pt>
                <c:pt idx="298">
                  <c:v>2036</c:v>
                </c:pt>
                <c:pt idx="299">
                  <c:v>2036</c:v>
                </c:pt>
                <c:pt idx="300">
                  <c:v>2037</c:v>
                </c:pt>
              </c:numCache>
            </c:numRef>
          </c:cat>
          <c:val>
            <c:numRef>
              <c:f>HID_CEA_01!$F$10:$F$313</c:f>
              <c:numCache>
                <c:formatCode>General</c:formatCode>
                <c:ptCount val="304"/>
                <c:pt idx="0">
                  <c:v>0</c:v>
                </c:pt>
                <c:pt idx="1">
                  <c:v>3.6577299916190002E-3</c:v>
                </c:pt>
                <c:pt idx="2">
                  <c:v>7.33511004072E-3</c:v>
                </c:pt>
                <c:pt idx="3">
                  <c:v>1.0796592864395001E-2</c:v>
                </c:pt>
                <c:pt idx="4">
                  <c:v>1.4855299616434E-2</c:v>
                </c:pt>
                <c:pt idx="5">
                  <c:v>1.7668920446411E-2</c:v>
                </c:pt>
                <c:pt idx="6">
                  <c:v>2.1135503580676999E-2</c:v>
                </c:pt>
                <c:pt idx="7">
                  <c:v>2.5540145245399E-2</c:v>
                </c:pt>
                <c:pt idx="8">
                  <c:v>2.8402125338421999E-2</c:v>
                </c:pt>
                <c:pt idx="9">
                  <c:v>3.1439214117530999E-2</c:v>
                </c:pt>
                <c:pt idx="10">
                  <c:v>3.4162018289788001E-2</c:v>
                </c:pt>
                <c:pt idx="11">
                  <c:v>3.7139557827927001E-2</c:v>
                </c:pt>
                <c:pt idx="12">
                  <c:v>3.9874667731971999E-2</c:v>
                </c:pt>
                <c:pt idx="13">
                  <c:v>4.2304948886317001E-2</c:v>
                </c:pt>
                <c:pt idx="14">
                  <c:v>4.5029705757878E-2</c:v>
                </c:pt>
                <c:pt idx="15">
                  <c:v>4.7781468181218999E-2</c:v>
                </c:pt>
                <c:pt idx="16">
                  <c:v>5.1188675713821997E-2</c:v>
                </c:pt>
                <c:pt idx="17">
                  <c:v>5.4041445213346001E-2</c:v>
                </c:pt>
                <c:pt idx="18">
                  <c:v>5.8064716491612003E-2</c:v>
                </c:pt>
                <c:pt idx="19">
                  <c:v>6.3122742758893999E-2</c:v>
                </c:pt>
                <c:pt idx="20">
                  <c:v>6.7353682578021004E-2</c:v>
                </c:pt>
                <c:pt idx="21">
                  <c:v>7.2708346559823001E-2</c:v>
                </c:pt>
                <c:pt idx="22">
                  <c:v>7.7610379822518005E-2</c:v>
                </c:pt>
                <c:pt idx="23">
                  <c:v>8.4381587236871003E-2</c:v>
                </c:pt>
                <c:pt idx="24">
                  <c:v>9.190234420849E-2</c:v>
                </c:pt>
                <c:pt idx="25">
                  <c:v>0.101036475200712</c:v>
                </c:pt>
                <c:pt idx="26">
                  <c:v>0.108944228626995</c:v>
                </c:pt>
                <c:pt idx="27">
                  <c:v>0.119877889013618</c:v>
                </c:pt>
                <c:pt idx="28">
                  <c:v>0.13188380809024799</c:v>
                </c:pt>
                <c:pt idx="29">
                  <c:v>0.145149870804089</c:v>
                </c:pt>
                <c:pt idx="30">
                  <c:v>0.16310397477646499</c:v>
                </c:pt>
                <c:pt idx="31">
                  <c:v>0.17711788318875599</c:v>
                </c:pt>
                <c:pt idx="32">
                  <c:v>0.19608784700033099</c:v>
                </c:pt>
                <c:pt idx="33">
                  <c:v>0.21891024566036099</c:v>
                </c:pt>
                <c:pt idx="34">
                  <c:v>0.241457380430386</c:v>
                </c:pt>
                <c:pt idx="35">
                  <c:v>0.26536300545840302</c:v>
                </c:pt>
                <c:pt idx="36">
                  <c:v>0.29052634409104999</c:v>
                </c:pt>
                <c:pt idx="37">
                  <c:v>0.31669210314525298</c:v>
                </c:pt>
                <c:pt idx="38">
                  <c:v>0.34861127545634402</c:v>
                </c:pt>
                <c:pt idx="39">
                  <c:v>0.38354222708683899</c:v>
                </c:pt>
                <c:pt idx="40">
                  <c:v>0.42273978508021998</c:v>
                </c:pt>
                <c:pt idx="41">
                  <c:v>0.46602141000736103</c:v>
                </c:pt>
                <c:pt idx="42">
                  <c:v>0.51350153282194799</c:v>
                </c:pt>
                <c:pt idx="43">
                  <c:v>0.56475065652346201</c:v>
                </c:pt>
                <c:pt idx="44">
                  <c:v>0.61463940501780401</c:v>
                </c:pt>
                <c:pt idx="45">
                  <c:v>0.66307137082445899</c:v>
                </c:pt>
                <c:pt idx="46">
                  <c:v>0.71098428461563201</c:v>
                </c:pt>
                <c:pt idx="47">
                  <c:v>0.76148615112147799</c:v>
                </c:pt>
                <c:pt idx="48">
                  <c:v>0.81330434293172205</c:v>
                </c:pt>
                <c:pt idx="49">
                  <c:v>0.86254407969813096</c:v>
                </c:pt>
                <c:pt idx="50">
                  <c:v>0.91698439017889999</c:v>
                </c:pt>
                <c:pt idx="51">
                  <c:v>0.97158576227692695</c:v>
                </c:pt>
                <c:pt idx="52">
                  <c:v>1.0283872538434999</c:v>
                </c:pt>
                <c:pt idx="53">
                  <c:v>1.08761816258043</c:v>
                </c:pt>
                <c:pt idx="54">
                  <c:v>1.1495620163023901</c:v>
                </c:pt>
                <c:pt idx="55">
                  <c:v>1.2140604885072801</c:v>
                </c:pt>
                <c:pt idx="56">
                  <c:v>1.2735363360149501</c:v>
                </c:pt>
                <c:pt idx="57">
                  <c:v>1.3270861468439701</c:v>
                </c:pt>
                <c:pt idx="58">
                  <c:v>1.3771372398655499</c:v>
                </c:pt>
                <c:pt idx="59">
                  <c:v>1.42826617282957</c:v>
                </c:pt>
                <c:pt idx="60">
                  <c:v>1.4793568609120999</c:v>
                </c:pt>
                <c:pt idx="61">
                  <c:v>1.5257848142711501</c:v>
                </c:pt>
                <c:pt idx="62">
                  <c:v>1.58003759617407</c:v>
                </c:pt>
                <c:pt idx="63">
                  <c:v>1.6356527902401301</c:v>
                </c:pt>
                <c:pt idx="64">
                  <c:v>1.6933620219044001</c:v>
                </c:pt>
                <c:pt idx="65">
                  <c:v>1.7560341405670901</c:v>
                </c:pt>
                <c:pt idx="66">
                  <c:v>1.82163737688285</c:v>
                </c:pt>
                <c:pt idx="67">
                  <c:v>1.8911248647732299</c:v>
                </c:pt>
                <c:pt idx="68">
                  <c:v>1.95400525175385</c:v>
                </c:pt>
                <c:pt idx="69">
                  <c:v>2.0063380323388902</c:v>
                </c:pt>
                <c:pt idx="70">
                  <c:v>2.05418225279973</c:v>
                </c:pt>
                <c:pt idx="71">
                  <c:v>2.1026674465216502</c:v>
                </c:pt>
                <c:pt idx="72">
                  <c:v>2.1516206599027798</c:v>
                </c:pt>
                <c:pt idx="73">
                  <c:v>2.1969529837347399</c:v>
                </c:pt>
                <c:pt idx="74">
                  <c:v>2.25194068916118</c:v>
                </c:pt>
                <c:pt idx="75">
                  <c:v>2.3104274387253199</c:v>
                </c:pt>
                <c:pt idx="76">
                  <c:v>2.37189218558209</c:v>
                </c:pt>
                <c:pt idx="77">
                  <c:v>2.44147699603863</c:v>
                </c:pt>
                <c:pt idx="78">
                  <c:v>2.5144322194342501</c:v>
                </c:pt>
                <c:pt idx="79">
                  <c:v>2.5926586212178702</c:v>
                </c:pt>
                <c:pt idx="80">
                  <c:v>2.6625650560588499</c:v>
                </c:pt>
                <c:pt idx="81">
                  <c:v>2.7172717565346298</c:v>
                </c:pt>
                <c:pt idx="82">
                  <c:v>2.7663205623729601</c:v>
                </c:pt>
                <c:pt idx="83">
                  <c:v>2.81566298877744</c:v>
                </c:pt>
                <c:pt idx="84">
                  <c:v>2.8644697873095999</c:v>
                </c:pt>
                <c:pt idx="85">
                  <c:v>2.9085080405877699</c:v>
                </c:pt>
                <c:pt idx="86">
                  <c:v>2.9618239486703901</c:v>
                </c:pt>
                <c:pt idx="87">
                  <c:v>3.0187553543746</c:v>
                </c:pt>
                <c:pt idx="88">
                  <c:v>3.07649156748306</c:v>
                </c:pt>
                <c:pt idx="89">
                  <c:v>3.14561234142931</c:v>
                </c:pt>
                <c:pt idx="90">
                  <c:v>3.2174725454707902</c:v>
                </c:pt>
                <c:pt idx="91">
                  <c:v>3.2960695111682901</c:v>
                </c:pt>
                <c:pt idx="92">
                  <c:v>3.3650324589406901</c:v>
                </c:pt>
                <c:pt idx="93">
                  <c:v>3.4137318828501</c:v>
                </c:pt>
                <c:pt idx="94">
                  <c:v>3.45592241211394</c:v>
                </c:pt>
                <c:pt idx="95">
                  <c:v>3.4979036650894302</c:v>
                </c:pt>
                <c:pt idx="96">
                  <c:v>3.5396585795253199</c:v>
                </c:pt>
                <c:pt idx="97">
                  <c:v>3.57965640588281</c:v>
                </c:pt>
                <c:pt idx="98">
                  <c:v>3.6282526894462199</c:v>
                </c:pt>
                <c:pt idx="99">
                  <c:v>3.68196914038464</c:v>
                </c:pt>
                <c:pt idx="100">
                  <c:v>3.73836925546044</c:v>
                </c:pt>
                <c:pt idx="101">
                  <c:v>3.8037003156058802</c:v>
                </c:pt>
                <c:pt idx="102">
                  <c:v>3.8780878037931501</c:v>
                </c:pt>
                <c:pt idx="103">
                  <c:v>3.95692889418565</c:v>
                </c:pt>
                <c:pt idx="104">
                  <c:v>4.0242755694659902</c:v>
                </c:pt>
                <c:pt idx="105">
                  <c:v>4.0674454065298198</c:v>
                </c:pt>
                <c:pt idx="106">
                  <c:v>4.1032806083253597</c:v>
                </c:pt>
                <c:pt idx="107">
                  <c:v>4.1384045172013098</c:v>
                </c:pt>
                <c:pt idx="108">
                  <c:v>4.1732793924531002</c:v>
                </c:pt>
                <c:pt idx="109">
                  <c:v>4.2058473447181797</c:v>
                </c:pt>
                <c:pt idx="110">
                  <c:v>4.2487993368172896</c:v>
                </c:pt>
                <c:pt idx="111">
                  <c:v>4.2983028810680803</c:v>
                </c:pt>
                <c:pt idx="112">
                  <c:v>4.3503973669206104</c:v>
                </c:pt>
                <c:pt idx="113">
                  <c:v>4.4167174019263697</c:v>
                </c:pt>
                <c:pt idx="114">
                  <c:v>1.6969859613398199</c:v>
                </c:pt>
                <c:pt idx="115">
                  <c:v>1.8091291181139699</c:v>
                </c:pt>
                <c:pt idx="116">
                  <c:v>1.9131420656493501</c:v>
                </c:pt>
                <c:pt idx="117">
                  <c:v>2.0064463829841399</c:v>
                </c:pt>
                <c:pt idx="118">
                  <c:v>2.09237854368391</c:v>
                </c:pt>
                <c:pt idx="119">
                  <c:v>2.1788460822775302</c:v>
                </c:pt>
                <c:pt idx="120">
                  <c:v>2.26388817900372</c:v>
                </c:pt>
                <c:pt idx="121">
                  <c:v>2.3403191590686299</c:v>
                </c:pt>
                <c:pt idx="122">
                  <c:v>2.4279595040950399</c:v>
                </c:pt>
                <c:pt idx="123">
                  <c:v>2.5163854938140702</c:v>
                </c:pt>
                <c:pt idx="124">
                  <c:v>2.6076883163248201</c:v>
                </c:pt>
                <c:pt idx="125">
                  <c:v>2.7049901647561798</c:v>
                </c:pt>
                <c:pt idx="126">
                  <c:v>2.8062180031231101</c:v>
                </c:pt>
                <c:pt idx="127">
                  <c:v>2.91157386038629</c:v>
                </c:pt>
                <c:pt idx="128">
                  <c:v>3.0051685792335698</c:v>
                </c:pt>
                <c:pt idx="129">
                  <c:v>3.0804050606828999</c:v>
                </c:pt>
                <c:pt idx="130">
                  <c:v>3.1453159547406799</c:v>
                </c:pt>
                <c:pt idx="131">
                  <c:v>3.2140433074887</c:v>
                </c:pt>
                <c:pt idx="132">
                  <c:v>3.2796429879248299</c:v>
                </c:pt>
                <c:pt idx="133">
                  <c:v>3.3390832461077</c:v>
                </c:pt>
                <c:pt idx="134">
                  <c:v>3.4098204854047198</c:v>
                </c:pt>
                <c:pt idx="135">
                  <c:v>3.4840478259481298</c:v>
                </c:pt>
                <c:pt idx="136">
                  <c:v>3.5609818150339798</c:v>
                </c:pt>
                <c:pt idx="137">
                  <c:v>3.6480668587986398</c:v>
                </c:pt>
                <c:pt idx="138">
                  <c:v>3.7392084091905602</c:v>
                </c:pt>
                <c:pt idx="139">
                  <c:v>3.8366749082271099</c:v>
                </c:pt>
                <c:pt idx="140">
                  <c:v>3.92147601963842</c:v>
                </c:pt>
                <c:pt idx="141">
                  <c:v>3.9821908899340599</c:v>
                </c:pt>
                <c:pt idx="142">
                  <c:v>4.0344489114559696</c:v>
                </c:pt>
                <c:pt idx="143">
                  <c:v>4.0858451499377999</c:v>
                </c:pt>
                <c:pt idx="144">
                  <c:v>4.1361778593590603</c:v>
                </c:pt>
                <c:pt idx="145">
                  <c:v>4.1838955142757399</c:v>
                </c:pt>
                <c:pt idx="146">
                  <c:v>4.2412222998404996</c:v>
                </c:pt>
                <c:pt idx="147">
                  <c:v>4.3036570138320203</c:v>
                </c:pt>
                <c:pt idx="148">
                  <c:v>4.3691951798857298</c:v>
                </c:pt>
                <c:pt idx="149">
                  <c:v>4.4473777837478501</c:v>
                </c:pt>
                <c:pt idx="150">
                  <c:v>4.5299884725293396</c:v>
                </c:pt>
                <c:pt idx="151">
                  <c:v>4.6196099221512998</c:v>
                </c:pt>
                <c:pt idx="152">
                  <c:v>4.6945866610434397</c:v>
                </c:pt>
                <c:pt idx="153">
                  <c:v>4.74110160271875</c:v>
                </c:pt>
                <c:pt idx="154">
                  <c:v>4.7788298084778598</c:v>
                </c:pt>
                <c:pt idx="155">
                  <c:v>4.8152209733435498</c:v>
                </c:pt>
                <c:pt idx="156">
                  <c:v>4.8509578671639799</c:v>
                </c:pt>
                <c:pt idx="157">
                  <c:v>4.8843659751195103</c:v>
                </c:pt>
                <c:pt idx="158">
                  <c:v>4.9290454834601798</c:v>
                </c:pt>
                <c:pt idx="159">
                  <c:v>4.9807362808359397</c:v>
                </c:pt>
                <c:pt idx="160">
                  <c:v>5.0355545648593401</c:v>
                </c:pt>
                <c:pt idx="161">
                  <c:v>5.1058401584155497</c:v>
                </c:pt>
                <c:pt idx="162">
                  <c:v>5.1807279959203996</c:v>
                </c:pt>
                <c:pt idx="163">
                  <c:v>5.26396691603746</c:v>
                </c:pt>
                <c:pt idx="164">
                  <c:v>5.3317349300264603</c:v>
                </c:pt>
                <c:pt idx="165">
                  <c:v>5.3671613977774104</c:v>
                </c:pt>
                <c:pt idx="166">
                  <c:v>5.3936178259543901</c:v>
                </c:pt>
                <c:pt idx="167">
                  <c:v>5.4184075141139099</c:v>
                </c:pt>
                <c:pt idx="168">
                  <c:v>5.4428132178697899</c:v>
                </c:pt>
                <c:pt idx="169">
                  <c:v>5.4663735022859203</c:v>
                </c:pt>
                <c:pt idx="170">
                  <c:v>5.5012479817082198</c:v>
                </c:pt>
                <c:pt idx="171">
                  <c:v>5.54463825731629</c:v>
                </c:pt>
                <c:pt idx="172">
                  <c:v>5.5911703797151597</c:v>
                </c:pt>
                <c:pt idx="173">
                  <c:v>5.6554281110461204</c:v>
                </c:pt>
                <c:pt idx="174">
                  <c:v>5.7244281795758498</c:v>
                </c:pt>
                <c:pt idx="175">
                  <c:v>5.8028546858473904</c:v>
                </c:pt>
                <c:pt idx="176">
                  <c:v>5.8651121532521699</c:v>
                </c:pt>
                <c:pt idx="177">
                  <c:v>5.8918631005948399</c:v>
                </c:pt>
                <c:pt idx="178">
                  <c:v>5.9094645831042696</c:v>
                </c:pt>
                <c:pt idx="179">
                  <c:v>5.9251231553833597</c:v>
                </c:pt>
                <c:pt idx="180">
                  <c:v>5.94060034678908</c:v>
                </c:pt>
                <c:pt idx="181">
                  <c:v>5.9563977816074498</c:v>
                </c:pt>
                <c:pt idx="182">
                  <c:v>5.9835628212786096</c:v>
                </c:pt>
                <c:pt idx="183">
                  <c:v>6.0204541267586</c:v>
                </c:pt>
                <c:pt idx="184">
                  <c:v>6.0604966656021997</c:v>
                </c:pt>
                <c:pt idx="185">
                  <c:v>6.1201025772834097</c:v>
                </c:pt>
                <c:pt idx="186">
                  <c:v>6.1845665391676103</c:v>
                </c:pt>
                <c:pt idx="187">
                  <c:v>6.25933470250017</c:v>
                </c:pt>
                <c:pt idx="188">
                  <c:v>6.3173353704252904</c:v>
                </c:pt>
                <c:pt idx="189">
                  <c:v>6.33720643790795</c:v>
                </c:pt>
                <c:pt idx="190">
                  <c:v>6.3477558513282899</c:v>
                </c:pt>
                <c:pt idx="191">
                  <c:v>6.35612927685328</c:v>
                </c:pt>
                <c:pt idx="192">
                  <c:v>6.3644759913251301</c:v>
                </c:pt>
                <c:pt idx="193">
                  <c:v>6.3747004878824702</c:v>
                </c:pt>
                <c:pt idx="194">
                  <c:v>6.3961715086776998</c:v>
                </c:pt>
                <c:pt idx="195">
                  <c:v>6.42785536107532</c:v>
                </c:pt>
                <c:pt idx="196">
                  <c:v>6.4636403923801904</c:v>
                </c:pt>
                <c:pt idx="197">
                  <c:v>6.51962578078831</c:v>
                </c:pt>
                <c:pt idx="198">
                  <c:v>6.5810847442553904</c:v>
                </c:pt>
                <c:pt idx="199">
                  <c:v>6.6526959662880003</c:v>
                </c:pt>
                <c:pt idx="200">
                  <c:v>6.7058258293700304</c:v>
                </c:pt>
                <c:pt idx="201">
                  <c:v>6.7198310872881502</c:v>
                </c:pt>
                <c:pt idx="202">
                  <c:v>6.7245980354631101</c:v>
                </c:pt>
                <c:pt idx="203">
                  <c:v>6.7270787789820998</c:v>
                </c:pt>
                <c:pt idx="204">
                  <c:v>6.7297149203356597</c:v>
                </c:pt>
                <c:pt idx="205">
                  <c:v>6.73463863299592</c:v>
                </c:pt>
                <c:pt idx="206">
                  <c:v>6.7511877576002401</c:v>
                </c:pt>
                <c:pt idx="207">
                  <c:v>6.7787465550056503</c:v>
                </c:pt>
                <c:pt idx="208">
                  <c:v>6.8104541972002304</c:v>
                </c:pt>
                <c:pt idx="209">
                  <c:v>6.8635965258680001</c:v>
                </c:pt>
                <c:pt idx="210">
                  <c:v>6.9223169940884803</c:v>
                </c:pt>
                <c:pt idx="211">
                  <c:v>6.9917660352060897</c:v>
                </c:pt>
                <c:pt idx="212">
                  <c:v>7.0422242664007797</c:v>
                </c:pt>
                <c:pt idx="213">
                  <c:v>7.0517317863401301</c:v>
                </c:pt>
                <c:pt idx="214">
                  <c:v>7.0518568856911701</c:v>
                </c:pt>
                <c:pt idx="215">
                  <c:v>7.0495292218097196</c:v>
                </c:pt>
                <c:pt idx="216">
                  <c:v>7.0474538309363197</c:v>
                </c:pt>
                <c:pt idx="217">
                  <c:v>7.0482922657488096</c:v>
                </c:pt>
                <c:pt idx="218">
                  <c:v>7.0608322188040802</c:v>
                </c:pt>
                <c:pt idx="219">
                  <c:v>7.0850514479973397</c:v>
                </c:pt>
                <c:pt idx="220">
                  <c:v>7.1134608744985304</c:v>
                </c:pt>
                <c:pt idx="221">
                  <c:v>7.1643529916741997</c:v>
                </c:pt>
                <c:pt idx="222">
                  <c:v>7.2209144685140396</c:v>
                </c:pt>
                <c:pt idx="223">
                  <c:v>7.2886952770341003</c:v>
                </c:pt>
                <c:pt idx="224">
                  <c:v>7.3370343544274403</c:v>
                </c:pt>
                <c:pt idx="225">
                  <c:v>7.3428475266574198</c:v>
                </c:pt>
                <c:pt idx="226">
                  <c:v>7.3391415173056096</c:v>
                </c:pt>
                <c:pt idx="227">
                  <c:v>7.3328384317413802</c:v>
                </c:pt>
                <c:pt idx="228">
                  <c:v>7.3268650375421602</c:v>
                </c:pt>
                <c:pt idx="229">
                  <c:v>7.3243248560507297</c:v>
                </c:pt>
                <c:pt idx="230">
                  <c:v>7.3335639984796401</c:v>
                </c:pt>
                <c:pt idx="231">
                  <c:v>7.3550522575805202</c:v>
                </c:pt>
                <c:pt idx="232">
                  <c:v>7.3807672739160397</c:v>
                </c:pt>
                <c:pt idx="233">
                  <c:v>7.4298657589822001</c:v>
                </c:pt>
                <c:pt idx="234">
                  <c:v>7.4847142457050202</c:v>
                </c:pt>
                <c:pt idx="235">
                  <c:v>7.5512051296871698</c:v>
                </c:pt>
                <c:pt idx="236">
                  <c:v>7.5978512786108299</c:v>
                </c:pt>
                <c:pt idx="237">
                  <c:v>7.6005972082454702</c:v>
                </c:pt>
                <c:pt idx="238">
                  <c:v>7.59369439569448</c:v>
                </c:pt>
                <c:pt idx="239">
                  <c:v>7.5840683392593</c:v>
                </c:pt>
                <c:pt idx="240">
                  <c:v>7.5748346161641402</c:v>
                </c:pt>
                <c:pt idx="241">
                  <c:v>7.5695999171043402</c:v>
                </c:pt>
                <c:pt idx="242">
                  <c:v>7.5766143021022501</c:v>
                </c:pt>
                <c:pt idx="243">
                  <c:v>7.5957942681447497</c:v>
                </c:pt>
                <c:pt idx="244">
                  <c:v>7.6202875384778999</c:v>
                </c:pt>
                <c:pt idx="245">
                  <c:v>7.6679783546138101</c:v>
                </c:pt>
                <c:pt idx="246">
                  <c:v>7.7220381155560096</c:v>
                </c:pt>
                <c:pt idx="247">
                  <c:v>7.7871621990447197</c:v>
                </c:pt>
                <c:pt idx="248">
                  <c:v>7.8306770484234098</c:v>
                </c:pt>
                <c:pt idx="249">
                  <c:v>7.8304678226602498</c:v>
                </c:pt>
                <c:pt idx="250">
                  <c:v>7.8207692788758898</c:v>
                </c:pt>
                <c:pt idx="251">
                  <c:v>7.8083365170372003</c:v>
                </c:pt>
                <c:pt idx="252">
                  <c:v>7.7964174980477603</c:v>
                </c:pt>
                <c:pt idx="253">
                  <c:v>7.7890574943450801</c:v>
                </c:pt>
                <c:pt idx="254">
                  <c:v>7.79377722609643</c:v>
                </c:pt>
                <c:pt idx="255">
                  <c:v>7.8110760821965801</c:v>
                </c:pt>
                <c:pt idx="256">
                  <c:v>7.8337424113303999</c:v>
                </c:pt>
                <c:pt idx="257">
                  <c:v>7.8802720067777603</c:v>
                </c:pt>
                <c:pt idx="258">
                  <c:v>7.9332476272676198</c:v>
                </c:pt>
                <c:pt idx="259">
                  <c:v>7.9975918045103196</c:v>
                </c:pt>
                <c:pt idx="260">
                  <c:v>8.0399651737917601</c:v>
                </c:pt>
                <c:pt idx="261">
                  <c:v>8.0375669399051599</c:v>
                </c:pt>
                <c:pt idx="262">
                  <c:v>8.0255694425062902</c:v>
                </c:pt>
                <c:pt idx="263">
                  <c:v>8.0107409703102093</c:v>
                </c:pt>
                <c:pt idx="264">
                  <c:v>7.9964702087124504</c:v>
                </c:pt>
                <c:pt idx="265">
                  <c:v>7.9870821589907601</c:v>
                </c:pt>
                <c:pt idx="266">
                  <c:v>7.98985399807066</c:v>
                </c:pt>
                <c:pt idx="267">
                  <c:v>8.0055686825646699</c:v>
                </c:pt>
                <c:pt idx="268">
                  <c:v>8.0267000409318108</c:v>
                </c:pt>
                <c:pt idx="269">
                  <c:v>8.0722853107871195</c:v>
                </c:pt>
                <c:pt idx="270">
                  <c:v>8.1243866816905097</c:v>
                </c:pt>
                <c:pt idx="271">
                  <c:v>8.1881272048734903</c:v>
                </c:pt>
                <c:pt idx="272">
                  <c:v>8.2295665698599603</c:v>
                </c:pt>
                <c:pt idx="273">
                  <c:v>8.2252933735889595</c:v>
                </c:pt>
                <c:pt idx="274">
                  <c:v>8.2113164296513208</c:v>
                </c:pt>
                <c:pt idx="275">
                  <c:v>8.1944217734071891</c:v>
                </c:pt>
                <c:pt idx="276">
                  <c:v>8.1781217679465001</c:v>
                </c:pt>
                <c:pt idx="277">
                  <c:v>8.1669852468457709</c:v>
                </c:pt>
                <c:pt idx="278">
                  <c:v>8.1680871323544597</c:v>
                </c:pt>
                <c:pt idx="279">
                  <c:v>8.1824548943514301</c:v>
                </c:pt>
                <c:pt idx="280">
                  <c:v>8.2022844003609698</c:v>
                </c:pt>
                <c:pt idx="281">
                  <c:v>8.2470966610178493</c:v>
                </c:pt>
                <c:pt idx="282">
                  <c:v>8.2984892246843707</c:v>
                </c:pt>
                <c:pt idx="283">
                  <c:v>8.3617638003613308</c:v>
                </c:pt>
                <c:pt idx="284">
                  <c:v>8.4024334620366297</c:v>
                </c:pt>
                <c:pt idx="285">
                  <c:v>8.3965384895740804</c:v>
                </c:pt>
                <c:pt idx="286">
                  <c:v>8.3808404462653492</c:v>
                </c:pt>
                <c:pt idx="287">
                  <c:v>8.3621463632950999</c:v>
                </c:pt>
                <c:pt idx="288">
                  <c:v>8.3440783235489508</c:v>
                </c:pt>
                <c:pt idx="289">
                  <c:v>8.3313039624997902</c:v>
                </c:pt>
                <c:pt idx="290">
                  <c:v>8.3315271517939795</c:v>
                </c:pt>
                <c:pt idx="291">
                  <c:v>8.3446857138657204</c:v>
                </c:pt>
                <c:pt idx="292">
                  <c:v>8.3644771015522998</c:v>
                </c:pt>
                <c:pt idx="293">
                  <c:v>8.40869514624044</c:v>
                </c:pt>
                <c:pt idx="294">
                  <c:v>8.4601263613986699</c:v>
                </c:pt>
                <c:pt idx="295">
                  <c:v>8.5226613139547904</c:v>
                </c:pt>
                <c:pt idx="296">
                  <c:v>8.5607878663611299</c:v>
                </c:pt>
                <c:pt idx="297">
                  <c:v>8.5530697763613706</c:v>
                </c:pt>
                <c:pt idx="298">
                  <c:v>8.5357576044926908</c:v>
                </c:pt>
                <c:pt idx="299">
                  <c:v>8.5154860268928498</c:v>
                </c:pt>
                <c:pt idx="300">
                  <c:v>8.4959426214461509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9-4A73-8D33-80C05B9CC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567456"/>
        <c:axId val="438567848"/>
      </c:lineChart>
      <c:catAx>
        <c:axId val="43856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67848"/>
        <c:crosses val="autoZero"/>
        <c:auto val="1"/>
        <c:lblAlgn val="ctr"/>
        <c:lblOffset val="100"/>
        <c:noMultiLvlLbl val="0"/>
      </c:catAx>
      <c:valAx>
        <c:axId val="43856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6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LIS_CEA_01!$E$8:$E$9</c:f>
              <c:strCache>
                <c:ptCount val="2"/>
                <c:pt idx="0">
                  <c:v>C mass of trees</c:v>
                </c:pt>
                <c:pt idx="1">
                  <c:v>tC/ha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LIS_CEA_01!$A$10:$A$313</c:f>
              <c:numCache>
                <c:formatCode>General</c:formatCode>
                <c:ptCount val="304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2011</c:v>
                </c:pt>
                <c:pt idx="6">
                  <c:v>2011</c:v>
                </c:pt>
                <c:pt idx="7">
                  <c:v>2011</c:v>
                </c:pt>
                <c:pt idx="8">
                  <c:v>2011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2011</c:v>
                </c:pt>
                <c:pt idx="14">
                  <c:v>2011</c:v>
                </c:pt>
                <c:pt idx="15">
                  <c:v>2011</c:v>
                </c:pt>
                <c:pt idx="16">
                  <c:v>2011</c:v>
                </c:pt>
                <c:pt idx="17">
                  <c:v>2012</c:v>
                </c:pt>
                <c:pt idx="18">
                  <c:v>2012</c:v>
                </c:pt>
                <c:pt idx="19">
                  <c:v>2012</c:v>
                </c:pt>
                <c:pt idx="20">
                  <c:v>2012</c:v>
                </c:pt>
                <c:pt idx="21">
                  <c:v>2012</c:v>
                </c:pt>
                <c:pt idx="22">
                  <c:v>2012</c:v>
                </c:pt>
                <c:pt idx="23">
                  <c:v>2012</c:v>
                </c:pt>
                <c:pt idx="24">
                  <c:v>2012</c:v>
                </c:pt>
                <c:pt idx="25">
                  <c:v>2012</c:v>
                </c:pt>
                <c:pt idx="26">
                  <c:v>2012</c:v>
                </c:pt>
                <c:pt idx="27">
                  <c:v>2012</c:v>
                </c:pt>
                <c:pt idx="28">
                  <c:v>2012</c:v>
                </c:pt>
                <c:pt idx="29">
                  <c:v>2013</c:v>
                </c:pt>
                <c:pt idx="30">
                  <c:v>2013</c:v>
                </c:pt>
                <c:pt idx="31">
                  <c:v>2013</c:v>
                </c:pt>
                <c:pt idx="32">
                  <c:v>2013</c:v>
                </c:pt>
                <c:pt idx="33">
                  <c:v>2013</c:v>
                </c:pt>
                <c:pt idx="34">
                  <c:v>2013</c:v>
                </c:pt>
                <c:pt idx="35">
                  <c:v>2013</c:v>
                </c:pt>
                <c:pt idx="36">
                  <c:v>2013</c:v>
                </c:pt>
                <c:pt idx="37">
                  <c:v>2013</c:v>
                </c:pt>
                <c:pt idx="38">
                  <c:v>2013</c:v>
                </c:pt>
                <c:pt idx="39">
                  <c:v>2013</c:v>
                </c:pt>
                <c:pt idx="40">
                  <c:v>2013</c:v>
                </c:pt>
                <c:pt idx="41">
                  <c:v>2014</c:v>
                </c:pt>
                <c:pt idx="42">
                  <c:v>2014</c:v>
                </c:pt>
                <c:pt idx="43">
                  <c:v>2014</c:v>
                </c:pt>
                <c:pt idx="44">
                  <c:v>2014</c:v>
                </c:pt>
                <c:pt idx="45">
                  <c:v>2014</c:v>
                </c:pt>
                <c:pt idx="46">
                  <c:v>2014</c:v>
                </c:pt>
                <c:pt idx="47">
                  <c:v>2014</c:v>
                </c:pt>
                <c:pt idx="48">
                  <c:v>2014</c:v>
                </c:pt>
                <c:pt idx="49">
                  <c:v>2014</c:v>
                </c:pt>
                <c:pt idx="50">
                  <c:v>2014</c:v>
                </c:pt>
                <c:pt idx="51">
                  <c:v>2014</c:v>
                </c:pt>
                <c:pt idx="52">
                  <c:v>2014</c:v>
                </c:pt>
                <c:pt idx="53">
                  <c:v>2015</c:v>
                </c:pt>
                <c:pt idx="54">
                  <c:v>2015</c:v>
                </c:pt>
                <c:pt idx="55">
                  <c:v>2015</c:v>
                </c:pt>
                <c:pt idx="56">
                  <c:v>2015</c:v>
                </c:pt>
                <c:pt idx="57">
                  <c:v>2015</c:v>
                </c:pt>
                <c:pt idx="58">
                  <c:v>2015</c:v>
                </c:pt>
                <c:pt idx="59">
                  <c:v>2015</c:v>
                </c:pt>
                <c:pt idx="60">
                  <c:v>2015</c:v>
                </c:pt>
                <c:pt idx="61">
                  <c:v>2015</c:v>
                </c:pt>
                <c:pt idx="62">
                  <c:v>2015</c:v>
                </c:pt>
                <c:pt idx="63">
                  <c:v>2015</c:v>
                </c:pt>
                <c:pt idx="64">
                  <c:v>2015</c:v>
                </c:pt>
                <c:pt idx="65">
                  <c:v>2016</c:v>
                </c:pt>
                <c:pt idx="66">
                  <c:v>2016</c:v>
                </c:pt>
                <c:pt idx="67">
                  <c:v>2016</c:v>
                </c:pt>
                <c:pt idx="68">
                  <c:v>2016</c:v>
                </c:pt>
                <c:pt idx="69">
                  <c:v>2016</c:v>
                </c:pt>
                <c:pt idx="70">
                  <c:v>2016</c:v>
                </c:pt>
                <c:pt idx="71">
                  <c:v>2016</c:v>
                </c:pt>
                <c:pt idx="72">
                  <c:v>2016</c:v>
                </c:pt>
                <c:pt idx="73">
                  <c:v>2016</c:v>
                </c:pt>
                <c:pt idx="74">
                  <c:v>2016</c:v>
                </c:pt>
                <c:pt idx="75">
                  <c:v>2016</c:v>
                </c:pt>
                <c:pt idx="76">
                  <c:v>2016</c:v>
                </c:pt>
                <c:pt idx="77">
                  <c:v>2017</c:v>
                </c:pt>
                <c:pt idx="78">
                  <c:v>2017</c:v>
                </c:pt>
                <c:pt idx="79">
                  <c:v>2017</c:v>
                </c:pt>
                <c:pt idx="80">
                  <c:v>2017</c:v>
                </c:pt>
                <c:pt idx="81">
                  <c:v>2017</c:v>
                </c:pt>
                <c:pt idx="82">
                  <c:v>2017</c:v>
                </c:pt>
                <c:pt idx="83">
                  <c:v>2017</c:v>
                </c:pt>
                <c:pt idx="84">
                  <c:v>2017</c:v>
                </c:pt>
                <c:pt idx="85">
                  <c:v>2017</c:v>
                </c:pt>
                <c:pt idx="86">
                  <c:v>2017</c:v>
                </c:pt>
                <c:pt idx="87">
                  <c:v>2017</c:v>
                </c:pt>
                <c:pt idx="88">
                  <c:v>2017</c:v>
                </c:pt>
                <c:pt idx="89">
                  <c:v>2018</c:v>
                </c:pt>
                <c:pt idx="90">
                  <c:v>2018</c:v>
                </c:pt>
                <c:pt idx="91">
                  <c:v>2018</c:v>
                </c:pt>
                <c:pt idx="92">
                  <c:v>2018</c:v>
                </c:pt>
                <c:pt idx="93">
                  <c:v>2018</c:v>
                </c:pt>
                <c:pt idx="94">
                  <c:v>2018</c:v>
                </c:pt>
                <c:pt idx="95">
                  <c:v>2018</c:v>
                </c:pt>
                <c:pt idx="96">
                  <c:v>2018</c:v>
                </c:pt>
                <c:pt idx="97">
                  <c:v>2018</c:v>
                </c:pt>
                <c:pt idx="98">
                  <c:v>2018</c:v>
                </c:pt>
                <c:pt idx="99">
                  <c:v>2018</c:v>
                </c:pt>
                <c:pt idx="100">
                  <c:v>2018</c:v>
                </c:pt>
                <c:pt idx="101">
                  <c:v>2019</c:v>
                </c:pt>
                <c:pt idx="102">
                  <c:v>2019</c:v>
                </c:pt>
                <c:pt idx="103">
                  <c:v>2019</c:v>
                </c:pt>
                <c:pt idx="104">
                  <c:v>2019</c:v>
                </c:pt>
                <c:pt idx="105">
                  <c:v>2019</c:v>
                </c:pt>
                <c:pt idx="106">
                  <c:v>2019</c:v>
                </c:pt>
                <c:pt idx="107">
                  <c:v>2019</c:v>
                </c:pt>
                <c:pt idx="108">
                  <c:v>2019</c:v>
                </c:pt>
                <c:pt idx="109">
                  <c:v>2019</c:v>
                </c:pt>
                <c:pt idx="110">
                  <c:v>2019</c:v>
                </c:pt>
                <c:pt idx="111">
                  <c:v>2019</c:v>
                </c:pt>
                <c:pt idx="112">
                  <c:v>2019</c:v>
                </c:pt>
                <c:pt idx="113">
                  <c:v>2020</c:v>
                </c:pt>
                <c:pt idx="114">
                  <c:v>2020</c:v>
                </c:pt>
                <c:pt idx="115">
                  <c:v>2020</c:v>
                </c:pt>
                <c:pt idx="116">
                  <c:v>2020</c:v>
                </c:pt>
                <c:pt idx="117">
                  <c:v>2020</c:v>
                </c:pt>
                <c:pt idx="118">
                  <c:v>2020</c:v>
                </c:pt>
                <c:pt idx="119">
                  <c:v>2020</c:v>
                </c:pt>
                <c:pt idx="120">
                  <c:v>2020</c:v>
                </c:pt>
                <c:pt idx="121">
                  <c:v>2020</c:v>
                </c:pt>
                <c:pt idx="122">
                  <c:v>2020</c:v>
                </c:pt>
                <c:pt idx="123">
                  <c:v>2020</c:v>
                </c:pt>
                <c:pt idx="124">
                  <c:v>2020</c:v>
                </c:pt>
                <c:pt idx="125">
                  <c:v>2021</c:v>
                </c:pt>
                <c:pt idx="126">
                  <c:v>2021</c:v>
                </c:pt>
                <c:pt idx="127">
                  <c:v>2021</c:v>
                </c:pt>
                <c:pt idx="128">
                  <c:v>2021</c:v>
                </c:pt>
                <c:pt idx="129">
                  <c:v>2021</c:v>
                </c:pt>
                <c:pt idx="130">
                  <c:v>2021</c:v>
                </c:pt>
                <c:pt idx="131">
                  <c:v>2021</c:v>
                </c:pt>
                <c:pt idx="132">
                  <c:v>2021</c:v>
                </c:pt>
                <c:pt idx="133">
                  <c:v>2021</c:v>
                </c:pt>
                <c:pt idx="134">
                  <c:v>2021</c:v>
                </c:pt>
                <c:pt idx="135">
                  <c:v>2021</c:v>
                </c:pt>
                <c:pt idx="136">
                  <c:v>2021</c:v>
                </c:pt>
                <c:pt idx="137">
                  <c:v>2022</c:v>
                </c:pt>
                <c:pt idx="138">
                  <c:v>2022</c:v>
                </c:pt>
                <c:pt idx="139">
                  <c:v>2022</c:v>
                </c:pt>
                <c:pt idx="140">
                  <c:v>2022</c:v>
                </c:pt>
                <c:pt idx="141">
                  <c:v>2022</c:v>
                </c:pt>
                <c:pt idx="142">
                  <c:v>2022</c:v>
                </c:pt>
                <c:pt idx="143">
                  <c:v>2022</c:v>
                </c:pt>
                <c:pt idx="144">
                  <c:v>2022</c:v>
                </c:pt>
                <c:pt idx="145">
                  <c:v>2022</c:v>
                </c:pt>
                <c:pt idx="146">
                  <c:v>2022</c:v>
                </c:pt>
                <c:pt idx="147">
                  <c:v>2022</c:v>
                </c:pt>
                <c:pt idx="148">
                  <c:v>2022</c:v>
                </c:pt>
                <c:pt idx="149">
                  <c:v>2023</c:v>
                </c:pt>
                <c:pt idx="150">
                  <c:v>2023</c:v>
                </c:pt>
                <c:pt idx="151">
                  <c:v>2023</c:v>
                </c:pt>
                <c:pt idx="152">
                  <c:v>2023</c:v>
                </c:pt>
                <c:pt idx="153">
                  <c:v>2023</c:v>
                </c:pt>
                <c:pt idx="154">
                  <c:v>2023</c:v>
                </c:pt>
                <c:pt idx="155">
                  <c:v>2023</c:v>
                </c:pt>
                <c:pt idx="156">
                  <c:v>2023</c:v>
                </c:pt>
                <c:pt idx="157">
                  <c:v>2023</c:v>
                </c:pt>
                <c:pt idx="158">
                  <c:v>2023</c:v>
                </c:pt>
                <c:pt idx="159">
                  <c:v>2023</c:v>
                </c:pt>
                <c:pt idx="160">
                  <c:v>2023</c:v>
                </c:pt>
                <c:pt idx="161">
                  <c:v>2024</c:v>
                </c:pt>
                <c:pt idx="162">
                  <c:v>2024</c:v>
                </c:pt>
                <c:pt idx="163">
                  <c:v>2024</c:v>
                </c:pt>
                <c:pt idx="164">
                  <c:v>2024</c:v>
                </c:pt>
                <c:pt idx="165">
                  <c:v>2024</c:v>
                </c:pt>
                <c:pt idx="166">
                  <c:v>2024</c:v>
                </c:pt>
                <c:pt idx="167">
                  <c:v>2024</c:v>
                </c:pt>
                <c:pt idx="168">
                  <c:v>2024</c:v>
                </c:pt>
                <c:pt idx="169">
                  <c:v>2024</c:v>
                </c:pt>
                <c:pt idx="170">
                  <c:v>2024</c:v>
                </c:pt>
                <c:pt idx="171">
                  <c:v>2024</c:v>
                </c:pt>
                <c:pt idx="172">
                  <c:v>2024</c:v>
                </c:pt>
                <c:pt idx="173">
                  <c:v>2025</c:v>
                </c:pt>
                <c:pt idx="174">
                  <c:v>2025</c:v>
                </c:pt>
                <c:pt idx="175">
                  <c:v>2025</c:v>
                </c:pt>
                <c:pt idx="176">
                  <c:v>2025</c:v>
                </c:pt>
                <c:pt idx="177">
                  <c:v>2025</c:v>
                </c:pt>
                <c:pt idx="178">
                  <c:v>2025</c:v>
                </c:pt>
                <c:pt idx="179">
                  <c:v>2025</c:v>
                </c:pt>
                <c:pt idx="180">
                  <c:v>2025</c:v>
                </c:pt>
                <c:pt idx="181">
                  <c:v>2025</c:v>
                </c:pt>
                <c:pt idx="182">
                  <c:v>2025</c:v>
                </c:pt>
                <c:pt idx="183">
                  <c:v>2025</c:v>
                </c:pt>
                <c:pt idx="184">
                  <c:v>2025</c:v>
                </c:pt>
                <c:pt idx="185">
                  <c:v>2026</c:v>
                </c:pt>
                <c:pt idx="186">
                  <c:v>2026</c:v>
                </c:pt>
                <c:pt idx="187">
                  <c:v>2026</c:v>
                </c:pt>
                <c:pt idx="188">
                  <c:v>2026</c:v>
                </c:pt>
                <c:pt idx="189">
                  <c:v>2026</c:v>
                </c:pt>
                <c:pt idx="190">
                  <c:v>2026</c:v>
                </c:pt>
                <c:pt idx="191">
                  <c:v>2026</c:v>
                </c:pt>
                <c:pt idx="192">
                  <c:v>2026</c:v>
                </c:pt>
                <c:pt idx="193">
                  <c:v>2026</c:v>
                </c:pt>
                <c:pt idx="194">
                  <c:v>2026</c:v>
                </c:pt>
                <c:pt idx="195">
                  <c:v>2026</c:v>
                </c:pt>
                <c:pt idx="196">
                  <c:v>2026</c:v>
                </c:pt>
                <c:pt idx="197">
                  <c:v>2027</c:v>
                </c:pt>
                <c:pt idx="198">
                  <c:v>2027</c:v>
                </c:pt>
                <c:pt idx="199">
                  <c:v>2027</c:v>
                </c:pt>
                <c:pt idx="200">
                  <c:v>2027</c:v>
                </c:pt>
                <c:pt idx="201">
                  <c:v>2027</c:v>
                </c:pt>
                <c:pt idx="202">
                  <c:v>2027</c:v>
                </c:pt>
                <c:pt idx="203">
                  <c:v>2027</c:v>
                </c:pt>
                <c:pt idx="204">
                  <c:v>2027</c:v>
                </c:pt>
                <c:pt idx="205">
                  <c:v>2027</c:v>
                </c:pt>
                <c:pt idx="206">
                  <c:v>2027</c:v>
                </c:pt>
                <c:pt idx="207">
                  <c:v>2027</c:v>
                </c:pt>
                <c:pt idx="208">
                  <c:v>2027</c:v>
                </c:pt>
                <c:pt idx="209">
                  <c:v>2028</c:v>
                </c:pt>
                <c:pt idx="210">
                  <c:v>2028</c:v>
                </c:pt>
                <c:pt idx="211">
                  <c:v>2028</c:v>
                </c:pt>
                <c:pt idx="212">
                  <c:v>2028</c:v>
                </c:pt>
                <c:pt idx="213">
                  <c:v>2028</c:v>
                </c:pt>
                <c:pt idx="214">
                  <c:v>2028</c:v>
                </c:pt>
                <c:pt idx="215">
                  <c:v>2028</c:v>
                </c:pt>
                <c:pt idx="216">
                  <c:v>2028</c:v>
                </c:pt>
                <c:pt idx="217">
                  <c:v>2028</c:v>
                </c:pt>
                <c:pt idx="218">
                  <c:v>2028</c:v>
                </c:pt>
                <c:pt idx="219">
                  <c:v>2028</c:v>
                </c:pt>
                <c:pt idx="220">
                  <c:v>2028</c:v>
                </c:pt>
                <c:pt idx="221">
                  <c:v>2029</c:v>
                </c:pt>
                <c:pt idx="222">
                  <c:v>2029</c:v>
                </c:pt>
                <c:pt idx="223">
                  <c:v>2029</c:v>
                </c:pt>
                <c:pt idx="224">
                  <c:v>2029</c:v>
                </c:pt>
                <c:pt idx="225">
                  <c:v>2029</c:v>
                </c:pt>
                <c:pt idx="226">
                  <c:v>2029</c:v>
                </c:pt>
                <c:pt idx="227">
                  <c:v>2029</c:v>
                </c:pt>
                <c:pt idx="228">
                  <c:v>2029</c:v>
                </c:pt>
                <c:pt idx="229">
                  <c:v>2029</c:v>
                </c:pt>
                <c:pt idx="230">
                  <c:v>2029</c:v>
                </c:pt>
                <c:pt idx="231">
                  <c:v>2029</c:v>
                </c:pt>
                <c:pt idx="232">
                  <c:v>2029</c:v>
                </c:pt>
                <c:pt idx="233">
                  <c:v>2030</c:v>
                </c:pt>
                <c:pt idx="234">
                  <c:v>2030</c:v>
                </c:pt>
                <c:pt idx="235">
                  <c:v>2030</c:v>
                </c:pt>
                <c:pt idx="236">
                  <c:v>2030</c:v>
                </c:pt>
                <c:pt idx="237">
                  <c:v>2030</c:v>
                </c:pt>
                <c:pt idx="238">
                  <c:v>2030</c:v>
                </c:pt>
                <c:pt idx="239">
                  <c:v>2030</c:v>
                </c:pt>
                <c:pt idx="240">
                  <c:v>2030</c:v>
                </c:pt>
                <c:pt idx="241">
                  <c:v>2030</c:v>
                </c:pt>
                <c:pt idx="242">
                  <c:v>2030</c:v>
                </c:pt>
                <c:pt idx="243">
                  <c:v>2030</c:v>
                </c:pt>
                <c:pt idx="244">
                  <c:v>2030</c:v>
                </c:pt>
                <c:pt idx="245">
                  <c:v>2031</c:v>
                </c:pt>
                <c:pt idx="246">
                  <c:v>2031</c:v>
                </c:pt>
                <c:pt idx="247">
                  <c:v>2031</c:v>
                </c:pt>
                <c:pt idx="248">
                  <c:v>2031</c:v>
                </c:pt>
                <c:pt idx="249">
                  <c:v>2031</c:v>
                </c:pt>
                <c:pt idx="250">
                  <c:v>2031</c:v>
                </c:pt>
                <c:pt idx="251">
                  <c:v>2031</c:v>
                </c:pt>
                <c:pt idx="252">
                  <c:v>2031</c:v>
                </c:pt>
                <c:pt idx="253">
                  <c:v>2031</c:v>
                </c:pt>
                <c:pt idx="254">
                  <c:v>2031</c:v>
                </c:pt>
                <c:pt idx="255">
                  <c:v>2031</c:v>
                </c:pt>
                <c:pt idx="256">
                  <c:v>2031</c:v>
                </c:pt>
                <c:pt idx="257">
                  <c:v>2032</c:v>
                </c:pt>
                <c:pt idx="258">
                  <c:v>2032</c:v>
                </c:pt>
                <c:pt idx="259">
                  <c:v>2032</c:v>
                </c:pt>
                <c:pt idx="260">
                  <c:v>2032</c:v>
                </c:pt>
                <c:pt idx="261">
                  <c:v>2032</c:v>
                </c:pt>
                <c:pt idx="262">
                  <c:v>2032</c:v>
                </c:pt>
                <c:pt idx="263">
                  <c:v>2032</c:v>
                </c:pt>
                <c:pt idx="264">
                  <c:v>2032</c:v>
                </c:pt>
                <c:pt idx="265">
                  <c:v>2032</c:v>
                </c:pt>
                <c:pt idx="266">
                  <c:v>2032</c:v>
                </c:pt>
                <c:pt idx="267">
                  <c:v>2032</c:v>
                </c:pt>
                <c:pt idx="268">
                  <c:v>2032</c:v>
                </c:pt>
                <c:pt idx="269">
                  <c:v>2033</c:v>
                </c:pt>
                <c:pt idx="270">
                  <c:v>2033</c:v>
                </c:pt>
                <c:pt idx="271">
                  <c:v>2033</c:v>
                </c:pt>
                <c:pt idx="272">
                  <c:v>2033</c:v>
                </c:pt>
                <c:pt idx="273">
                  <c:v>2033</c:v>
                </c:pt>
                <c:pt idx="274">
                  <c:v>2033</c:v>
                </c:pt>
                <c:pt idx="275">
                  <c:v>2033</c:v>
                </c:pt>
                <c:pt idx="276">
                  <c:v>2033</c:v>
                </c:pt>
                <c:pt idx="277">
                  <c:v>2033</c:v>
                </c:pt>
                <c:pt idx="278">
                  <c:v>2033</c:v>
                </c:pt>
                <c:pt idx="279">
                  <c:v>2033</c:v>
                </c:pt>
                <c:pt idx="280">
                  <c:v>2033</c:v>
                </c:pt>
                <c:pt idx="281">
                  <c:v>2034</c:v>
                </c:pt>
                <c:pt idx="282">
                  <c:v>2034</c:v>
                </c:pt>
                <c:pt idx="283">
                  <c:v>2034</c:v>
                </c:pt>
                <c:pt idx="284">
                  <c:v>2034</c:v>
                </c:pt>
                <c:pt idx="285">
                  <c:v>2034</c:v>
                </c:pt>
                <c:pt idx="286">
                  <c:v>2034</c:v>
                </c:pt>
                <c:pt idx="287">
                  <c:v>2034</c:v>
                </c:pt>
                <c:pt idx="288">
                  <c:v>2034</c:v>
                </c:pt>
                <c:pt idx="289">
                  <c:v>2034</c:v>
                </c:pt>
                <c:pt idx="290">
                  <c:v>2034</c:v>
                </c:pt>
                <c:pt idx="291">
                  <c:v>2034</c:v>
                </c:pt>
                <c:pt idx="292">
                  <c:v>2034</c:v>
                </c:pt>
                <c:pt idx="293">
                  <c:v>2035</c:v>
                </c:pt>
                <c:pt idx="294">
                  <c:v>2035</c:v>
                </c:pt>
                <c:pt idx="295">
                  <c:v>2035</c:v>
                </c:pt>
                <c:pt idx="296">
                  <c:v>2035</c:v>
                </c:pt>
                <c:pt idx="297">
                  <c:v>2035</c:v>
                </c:pt>
                <c:pt idx="298">
                  <c:v>2035</c:v>
                </c:pt>
                <c:pt idx="299">
                  <c:v>2035</c:v>
                </c:pt>
                <c:pt idx="300">
                  <c:v>2035</c:v>
                </c:pt>
              </c:numCache>
            </c:numRef>
          </c:cat>
          <c:val>
            <c:numRef>
              <c:f>LIS_CEA_01!$E$10:$E$311</c:f>
              <c:numCache>
                <c:formatCode>General</c:formatCode>
                <c:ptCount val="302"/>
                <c:pt idx="0">
                  <c:v>0</c:v>
                </c:pt>
                <c:pt idx="1">
                  <c:v>0.29370000000000002</c:v>
                </c:pt>
                <c:pt idx="2">
                  <c:v>0.29370000000000002</c:v>
                </c:pt>
                <c:pt idx="3">
                  <c:v>0.29370000000000002</c:v>
                </c:pt>
                <c:pt idx="4">
                  <c:v>0.29370000000000002</c:v>
                </c:pt>
                <c:pt idx="5">
                  <c:v>0.29370000000000002</c:v>
                </c:pt>
                <c:pt idx="6">
                  <c:v>0.29370050299421502</c:v>
                </c:pt>
                <c:pt idx="7">
                  <c:v>0.29370279466587901</c:v>
                </c:pt>
                <c:pt idx="8">
                  <c:v>0.29371013290037601</c:v>
                </c:pt>
                <c:pt idx="9">
                  <c:v>0.29373102188611899</c:v>
                </c:pt>
                <c:pt idx="10">
                  <c:v>0.29377931116845402</c:v>
                </c:pt>
                <c:pt idx="11">
                  <c:v>0.293886089330895</c:v>
                </c:pt>
                <c:pt idx="12">
                  <c:v>0.29409603069921397</c:v>
                </c:pt>
                <c:pt idx="13">
                  <c:v>0.29446107907373098</c:v>
                </c:pt>
                <c:pt idx="14">
                  <c:v>0.29509663762869598</c:v>
                </c:pt>
                <c:pt idx="15">
                  <c:v>0.29607565232104699</c:v>
                </c:pt>
                <c:pt idx="16">
                  <c:v>0.29761197982586701</c:v>
                </c:pt>
                <c:pt idx="17">
                  <c:v>0.29894942925069401</c:v>
                </c:pt>
                <c:pt idx="18">
                  <c:v>0.30069685632386101</c:v>
                </c:pt>
                <c:pt idx="19">
                  <c:v>0.30286869111757603</c:v>
                </c:pt>
                <c:pt idx="20">
                  <c:v>0.30561221242915498</c:v>
                </c:pt>
                <c:pt idx="21">
                  <c:v>0.309280883175786</c:v>
                </c:pt>
                <c:pt idx="22">
                  <c:v>0.31377638211891301</c:v>
                </c:pt>
                <c:pt idx="23">
                  <c:v>0.31954771743209298</c:v>
                </c:pt>
                <c:pt idx="24">
                  <c:v>0.326617713084074</c:v>
                </c:pt>
                <c:pt idx="25">
                  <c:v>0.33484310933702699</c:v>
                </c:pt>
                <c:pt idx="26">
                  <c:v>0.34492215589398301</c:v>
                </c:pt>
                <c:pt idx="27">
                  <c:v>0.356344383005614</c:v>
                </c:pt>
                <c:pt idx="28">
                  <c:v>0.37005707954589701</c:v>
                </c:pt>
                <c:pt idx="29">
                  <c:v>0.38726149142045901</c:v>
                </c:pt>
                <c:pt idx="30">
                  <c:v>0.40483161094666498</c:v>
                </c:pt>
                <c:pt idx="31">
                  <c:v>0.425198335830273</c:v>
                </c:pt>
                <c:pt idx="32">
                  <c:v>0.44706442754303899</c:v>
                </c:pt>
                <c:pt idx="33">
                  <c:v>0.47213338897770601</c:v>
                </c:pt>
                <c:pt idx="34">
                  <c:v>0.49887237444715798</c:v>
                </c:pt>
                <c:pt idx="35">
                  <c:v>0.529141577601004</c:v>
                </c:pt>
                <c:pt idx="36">
                  <c:v>0.56216089379203005</c:v>
                </c:pt>
                <c:pt idx="37">
                  <c:v>0.59678804242101702</c:v>
                </c:pt>
                <c:pt idx="38">
                  <c:v>0.63537745659266698</c:v>
                </c:pt>
                <c:pt idx="39">
                  <c:v>0.67547397424453104</c:v>
                </c:pt>
                <c:pt idx="40">
                  <c:v>0.71989513775038905</c:v>
                </c:pt>
                <c:pt idx="41">
                  <c:v>0.77091116201751497</c:v>
                </c:pt>
                <c:pt idx="42">
                  <c:v>0.81972261688972003</c:v>
                </c:pt>
                <c:pt idx="43">
                  <c:v>0.87469270046840697</c:v>
                </c:pt>
                <c:pt idx="44">
                  <c:v>0.93057666181647702</c:v>
                </c:pt>
                <c:pt idx="45">
                  <c:v>0.99130460048789004</c:v>
                </c:pt>
                <c:pt idx="46">
                  <c:v>1.05293877796409</c:v>
                </c:pt>
                <c:pt idx="47">
                  <c:v>1.1195612722908399</c:v>
                </c:pt>
                <c:pt idx="48">
                  <c:v>1.1891326253002099</c:v>
                </c:pt>
                <c:pt idx="49">
                  <c:v>1.25923100419816</c:v>
                </c:pt>
                <c:pt idx="50">
                  <c:v>1.3344873335726499</c:v>
                </c:pt>
                <c:pt idx="51">
                  <c:v>1.4100019300428499</c:v>
                </c:pt>
                <c:pt idx="52">
                  <c:v>1.4911624229968501</c:v>
                </c:pt>
                <c:pt idx="53">
                  <c:v>1.58735304349563</c:v>
                </c:pt>
                <c:pt idx="54">
                  <c:v>1.6768695758457901</c:v>
                </c:pt>
                <c:pt idx="55">
                  <c:v>1.7766315095437399</c:v>
                </c:pt>
                <c:pt idx="56">
                  <c:v>1.8755850906788201</c:v>
                </c:pt>
                <c:pt idx="57">
                  <c:v>1.9805782172059001</c:v>
                </c:pt>
                <c:pt idx="58">
                  <c:v>2.0847685658061499</c:v>
                </c:pt>
                <c:pt idx="59">
                  <c:v>2.1950292250781498</c:v>
                </c:pt>
                <c:pt idx="60">
                  <c:v>2.3078546101303199</c:v>
                </c:pt>
                <c:pt idx="61">
                  <c:v>2.4194101744730698</c:v>
                </c:pt>
                <c:pt idx="62">
                  <c:v>2.5370578218442401</c:v>
                </c:pt>
                <c:pt idx="63">
                  <c:v>2.6531352332949898</c:v>
                </c:pt>
                <c:pt idx="64">
                  <c:v>2.77530550165931</c:v>
                </c:pt>
                <c:pt idx="65">
                  <c:v>2.8996593601317602</c:v>
                </c:pt>
                <c:pt idx="66">
                  <c:v>3.0178990291547598</c:v>
                </c:pt>
                <c:pt idx="67">
                  <c:v>3.1443641397409898</c:v>
                </c:pt>
                <c:pt idx="68">
                  <c:v>3.2683903230502098</c:v>
                </c:pt>
                <c:pt idx="69">
                  <c:v>3.39837576643502</c:v>
                </c:pt>
                <c:pt idx="70">
                  <c:v>3.52800493118656</c:v>
                </c:pt>
                <c:pt idx="71">
                  <c:v>3.7965498454892099</c:v>
                </c:pt>
                <c:pt idx="72">
                  <c:v>4.0713805686310502</c:v>
                </c:pt>
                <c:pt idx="73">
                  <c:v>4.3428184114278299</c:v>
                </c:pt>
                <c:pt idx="74">
                  <c:v>4.6284500180048003</c:v>
                </c:pt>
                <c:pt idx="75">
                  <c:v>4.9061425330885999</c:v>
                </c:pt>
                <c:pt idx="76">
                  <c:v>5.1972397755897104</c:v>
                </c:pt>
                <c:pt idx="77">
                  <c:v>5.4921072080822899</c:v>
                </c:pt>
                <c:pt idx="78">
                  <c:v>5.7613229563183896</c:v>
                </c:pt>
                <c:pt idx="79">
                  <c:v>6.0622016460929</c:v>
                </c:pt>
                <c:pt idx="80">
                  <c:v>6.3558437634510199</c:v>
                </c:pt>
                <c:pt idx="81">
                  <c:v>6.6589491842339203</c:v>
                </c:pt>
                <c:pt idx="82">
                  <c:v>6.9527552652928897</c:v>
                </c:pt>
                <c:pt idx="83">
                  <c:v>7.1057822347407296</c:v>
                </c:pt>
                <c:pt idx="84">
                  <c:v>7.2591633685600696</c:v>
                </c:pt>
                <c:pt idx="85">
                  <c:v>7.4078991490667301</c:v>
                </c:pt>
                <c:pt idx="86">
                  <c:v>7.5618704946596198</c:v>
                </c:pt>
                <c:pt idx="87">
                  <c:v>7.7111115233526704</c:v>
                </c:pt>
                <c:pt idx="88">
                  <c:v>7.8655390374324998</c:v>
                </c:pt>
                <c:pt idx="89">
                  <c:v>8.0201497638825199</c:v>
                </c:pt>
                <c:pt idx="90">
                  <c:v>8.1599295671089607</c:v>
                </c:pt>
                <c:pt idx="91">
                  <c:v>8.31388733168796</c:v>
                </c:pt>
                <c:pt idx="92">
                  <c:v>8.4628741130456806</c:v>
                </c:pt>
                <c:pt idx="93">
                  <c:v>8.6168930813855393</c:v>
                </c:pt>
                <c:pt idx="94">
                  <c:v>8.7659822067723692</c:v>
                </c:pt>
                <c:pt idx="95">
                  <c:v>8.9200552233298005</c:v>
                </c:pt>
                <c:pt idx="96">
                  <c:v>9.0741176788584301</c:v>
                </c:pt>
                <c:pt idx="97">
                  <c:v>9.2231773107278396</c:v>
                </c:pt>
                <c:pt idx="98">
                  <c:v>9.3771484986350995</c:v>
                </c:pt>
                <c:pt idx="99">
                  <c:v>9.5260764539252207</c:v>
                </c:pt>
                <c:pt idx="100">
                  <c:v>9.6798683947019306</c:v>
                </c:pt>
                <c:pt idx="101">
                  <c:v>9.8335375443704596</c:v>
                </c:pt>
                <c:pt idx="102">
                  <c:v>9.97221303166328</c:v>
                </c:pt>
                <c:pt idx="103">
                  <c:v>10.1249012489808</c:v>
                </c:pt>
                <c:pt idx="104">
                  <c:v>10.2723948078247</c:v>
                </c:pt>
                <c:pt idx="105">
                  <c:v>10.4246115571242</c:v>
                </c:pt>
                <c:pt idx="106">
                  <c:v>10.5717148614234</c:v>
                </c:pt>
                <c:pt idx="107">
                  <c:v>10.723495332076</c:v>
                </c:pt>
                <c:pt idx="108">
                  <c:v>10.8750299184426</c:v>
                </c:pt>
                <c:pt idx="109">
                  <c:v>11.021427631705</c:v>
                </c:pt>
                <c:pt idx="110">
                  <c:v>11.172433885365701</c:v>
                </c:pt>
                <c:pt idx="111">
                  <c:v>11.3182930734161</c:v>
                </c:pt>
                <c:pt idx="112">
                  <c:v>11.4687158383904</c:v>
                </c:pt>
                <c:pt idx="113">
                  <c:v>11.618822347094101</c:v>
                </c:pt>
                <c:pt idx="114">
                  <c:v>11.758947115169599</c:v>
                </c:pt>
                <c:pt idx="115">
                  <c:v>11.907840230341099</c:v>
                </c:pt>
                <c:pt idx="116">
                  <c:v>12.0515382720811</c:v>
                </c:pt>
                <c:pt idx="117">
                  <c:v>12.199671098834401</c:v>
                </c:pt>
                <c:pt idx="118">
                  <c:v>12.3426719234425</c:v>
                </c:pt>
                <c:pt idx="119">
                  <c:v>12.4900643090562</c:v>
                </c:pt>
                <c:pt idx="120">
                  <c:v>12.637065866857</c:v>
                </c:pt>
                <c:pt idx="121">
                  <c:v>12.778944634191401</c:v>
                </c:pt>
                <c:pt idx="122">
                  <c:v>12.9251506283323</c:v>
                </c:pt>
                <c:pt idx="123">
                  <c:v>13.0662433776361</c:v>
                </c:pt>
                <c:pt idx="124">
                  <c:v>13.213962548440399</c:v>
                </c:pt>
                <c:pt idx="125">
                  <c:v>13.5033998112595</c:v>
                </c:pt>
                <c:pt idx="126">
                  <c:v>13.7609531937941</c:v>
                </c:pt>
                <c:pt idx="127">
                  <c:v>14.0443717724393</c:v>
                </c:pt>
                <c:pt idx="128">
                  <c:v>14.3168751652487</c:v>
                </c:pt>
                <c:pt idx="129">
                  <c:v>14.596590042286801</c:v>
                </c:pt>
                <c:pt idx="130">
                  <c:v>14.865435904019201</c:v>
                </c:pt>
                <c:pt idx="131">
                  <c:v>15.141303916319799</c:v>
                </c:pt>
                <c:pt idx="132">
                  <c:v>15.414494724704801</c:v>
                </c:pt>
                <c:pt idx="133">
                  <c:v>15.6769280964863</c:v>
                </c:pt>
                <c:pt idx="134">
                  <c:v>15.94610100181</c:v>
                </c:pt>
                <c:pt idx="135">
                  <c:v>16.204630010504101</c:v>
                </c:pt>
                <c:pt idx="136">
                  <c:v>16.470799756928599</c:v>
                </c:pt>
                <c:pt idx="137">
                  <c:v>16.733808251246298</c:v>
                </c:pt>
                <c:pt idx="138">
                  <c:v>16.969048262639902</c:v>
                </c:pt>
                <c:pt idx="139">
                  <c:v>17.227492491377799</c:v>
                </c:pt>
                <c:pt idx="140">
                  <c:v>17.475593086870798</c:v>
                </c:pt>
                <c:pt idx="141">
                  <c:v>17.729886089001099</c:v>
                </c:pt>
                <c:pt idx="142">
                  <c:v>17.9739634227052</c:v>
                </c:pt>
                <c:pt idx="143">
                  <c:v>18.224096441937899</c:v>
                </c:pt>
                <c:pt idx="144">
                  <c:v>18.471667211461298</c:v>
                </c:pt>
                <c:pt idx="145">
                  <c:v>18.709231496539498</c:v>
                </c:pt>
                <c:pt idx="146">
                  <c:v>18.952645879426001</c:v>
                </c:pt>
                <c:pt idx="147">
                  <c:v>19.1862111604364</c:v>
                </c:pt>
                <c:pt idx="148">
                  <c:v>19.424543978654501</c:v>
                </c:pt>
                <c:pt idx="149">
                  <c:v>19.543413116561801</c:v>
                </c:pt>
                <c:pt idx="150">
                  <c:v>19.650331938305101</c:v>
                </c:pt>
                <c:pt idx="151">
                  <c:v>19.768045555682999</c:v>
                </c:pt>
                <c:pt idx="152">
                  <c:v>19.881445830593499</c:v>
                </c:pt>
                <c:pt idx="153">
                  <c:v>19.9981187688843</c:v>
                </c:pt>
                <c:pt idx="154">
                  <c:v>20.110538263482798</c:v>
                </c:pt>
                <c:pt idx="155">
                  <c:v>20.226200228722199</c:v>
                </c:pt>
                <c:pt idx="156">
                  <c:v>20.3413504227725</c:v>
                </c:pt>
                <c:pt idx="157">
                  <c:v>20.452300150039399</c:v>
                </c:pt>
                <c:pt idx="158">
                  <c:v>20.566447476907499</c:v>
                </c:pt>
                <c:pt idx="159">
                  <c:v>20.676429456549101</c:v>
                </c:pt>
                <c:pt idx="160">
                  <c:v>20.789579719724198</c:v>
                </c:pt>
                <c:pt idx="161">
                  <c:v>20.902225602100501</c:v>
                </c:pt>
                <c:pt idx="162">
                  <c:v>21.007148819998701</c:v>
                </c:pt>
                <c:pt idx="163">
                  <c:v>21.118678985663198</c:v>
                </c:pt>
                <c:pt idx="164">
                  <c:v>21.226121464881398</c:v>
                </c:pt>
                <c:pt idx="165">
                  <c:v>21.336656233546801</c:v>
                </c:pt>
                <c:pt idx="166">
                  <c:v>21.443153641315799</c:v>
                </c:pt>
                <c:pt idx="167">
                  <c:v>21.552715241277099</c:v>
                </c:pt>
                <c:pt idx="168">
                  <c:v>21.661784938874298</c:v>
                </c:pt>
                <c:pt idx="169">
                  <c:v>21.766869623598399</c:v>
                </c:pt>
                <c:pt idx="170">
                  <c:v>21.874976743848201</c:v>
                </c:pt>
                <c:pt idx="171">
                  <c:v>21.979133394236001</c:v>
                </c:pt>
                <c:pt idx="172">
                  <c:v>22.086285198729399</c:v>
                </c:pt>
                <c:pt idx="173">
                  <c:v>22.192954352193102</c:v>
                </c:pt>
                <c:pt idx="174">
                  <c:v>22.288887448097501</c:v>
                </c:pt>
                <c:pt idx="175">
                  <c:v>22.394522595551301</c:v>
                </c:pt>
                <c:pt idx="176">
                  <c:v>22.496284020880299</c:v>
                </c:pt>
                <c:pt idx="177">
                  <c:v>22.600970725010999</c:v>
                </c:pt>
                <c:pt idx="178">
                  <c:v>22.701830594103999</c:v>
                </c:pt>
                <c:pt idx="179">
                  <c:v>22.805589584135902</c:v>
                </c:pt>
                <c:pt idx="180">
                  <c:v>22.908880121863401</c:v>
                </c:pt>
                <c:pt idx="181">
                  <c:v>23.008394604002401</c:v>
                </c:pt>
                <c:pt idx="182">
                  <c:v>23.110769331388799</c:v>
                </c:pt>
                <c:pt idx="183">
                  <c:v>23.209401409486301</c:v>
                </c:pt>
                <c:pt idx="184">
                  <c:v>23.310868332695499</c:v>
                </c:pt>
                <c:pt idx="185">
                  <c:v>23.411877005611601</c:v>
                </c:pt>
                <c:pt idx="186">
                  <c:v>23.5027185130585</c:v>
                </c:pt>
                <c:pt idx="187">
                  <c:v>23.602758890591002</c:v>
                </c:pt>
                <c:pt idx="188">
                  <c:v>23.699131528012199</c:v>
                </c:pt>
                <c:pt idx="189">
                  <c:v>23.798274272574702</c:v>
                </c:pt>
                <c:pt idx="190">
                  <c:v>23.8937927934832</c:v>
                </c:pt>
                <c:pt idx="191">
                  <c:v>23.992057060667001</c:v>
                </c:pt>
                <c:pt idx="192">
                  <c:v>24.089878046651201</c:v>
                </c:pt>
                <c:pt idx="193">
                  <c:v>24.1841234639035</c:v>
                </c:pt>
                <c:pt idx="194">
                  <c:v>24.281078420140901</c:v>
                </c:pt>
                <c:pt idx="195">
                  <c:v>24.374489750359899</c:v>
                </c:pt>
                <c:pt idx="196">
                  <c:v>24.470586961246902</c:v>
                </c:pt>
                <c:pt idx="197">
                  <c:v>24.5662514486852</c:v>
                </c:pt>
                <c:pt idx="198">
                  <c:v>24.6522879314143</c:v>
                </c:pt>
                <c:pt idx="199">
                  <c:v>24.747051278533</c:v>
                </c:pt>
                <c:pt idx="200">
                  <c:v>24.838340053979099</c:v>
                </c:pt>
                <c:pt idx="201">
                  <c:v>24.9322546597487</c:v>
                </c:pt>
                <c:pt idx="202">
                  <c:v>25.022738085173401</c:v>
                </c:pt>
                <c:pt idx="203">
                  <c:v>25.115824642950301</c:v>
                </c:pt>
                <c:pt idx="204">
                  <c:v>25.208493565758701</c:v>
                </c:pt>
                <c:pt idx="205">
                  <c:v>25.297777538344899</c:v>
                </c:pt>
                <c:pt idx="206">
                  <c:v>25.389630904497501</c:v>
                </c:pt>
                <c:pt idx="207">
                  <c:v>25.478129628221399</c:v>
                </c:pt>
                <c:pt idx="208">
                  <c:v>25.569175698053101</c:v>
                </c:pt>
                <c:pt idx="209">
                  <c:v>25.659814660735499</c:v>
                </c:pt>
                <c:pt idx="210">
                  <c:v>25.744239272753401</c:v>
                </c:pt>
                <c:pt idx="211">
                  <c:v>25.834022319629</c:v>
                </c:pt>
                <c:pt idx="212">
                  <c:v>25.920520080601101</c:v>
                </c:pt>
                <c:pt idx="213">
                  <c:v>26.009509072076298</c:v>
                </c:pt>
                <c:pt idx="214">
                  <c:v>26.095250029733801</c:v>
                </c:pt>
                <c:pt idx="215">
                  <c:v>26.183461061176398</c:v>
                </c:pt>
                <c:pt idx="216">
                  <c:v>26.2712798466024</c:v>
                </c:pt>
                <c:pt idx="217">
                  <c:v>26.355894265325599</c:v>
                </c:pt>
                <c:pt idx="218">
                  <c:v>26.442947306438398</c:v>
                </c:pt>
                <c:pt idx="219">
                  <c:v>26.526824580339301</c:v>
                </c:pt>
                <c:pt idx="220">
                  <c:v>26.613119921506399</c:v>
                </c:pt>
                <c:pt idx="221">
                  <c:v>26.699033269692801</c:v>
                </c:pt>
                <c:pt idx="222">
                  <c:v>26.776305804327801</c:v>
                </c:pt>
                <c:pt idx="223">
                  <c:v>26.861434217753001</c:v>
                </c:pt>
                <c:pt idx="224">
                  <c:v>26.943452184231202</c:v>
                </c:pt>
                <c:pt idx="225">
                  <c:v>27.027836379963802</c:v>
                </c:pt>
                <c:pt idx="226">
                  <c:v>27.109144554453898</c:v>
                </c:pt>
                <c:pt idx="227">
                  <c:v>27.192799221258898</c:v>
                </c:pt>
                <c:pt idx="228">
                  <c:v>27.276086137745899</c:v>
                </c:pt>
                <c:pt idx="229">
                  <c:v>27.356338123140301</c:v>
                </c:pt>
                <c:pt idx="230">
                  <c:v>27.4389072562028</c:v>
                </c:pt>
                <c:pt idx="231">
                  <c:v>27.518468351949799</c:v>
                </c:pt>
                <c:pt idx="232">
                  <c:v>27.600327414505401</c:v>
                </c:pt>
                <c:pt idx="233">
                  <c:v>27.681828557631</c:v>
                </c:pt>
                <c:pt idx="234">
                  <c:v>27.755136490894401</c:v>
                </c:pt>
                <c:pt idx="235">
                  <c:v>27.835906911522201</c:v>
                </c:pt>
                <c:pt idx="236">
                  <c:v>27.9137309874402</c:v>
                </c:pt>
                <c:pt idx="237">
                  <c:v>27.993804780733001</c:v>
                </c:pt>
                <c:pt idx="238">
                  <c:v>28.070964041388201</c:v>
                </c:pt>
                <c:pt idx="239">
                  <c:v>28.150354593419301</c:v>
                </c:pt>
                <c:pt idx="240">
                  <c:v>28.2294007718634</c:v>
                </c:pt>
                <c:pt idx="241">
                  <c:v>28.305570980486799</c:v>
                </c:pt>
                <c:pt idx="242">
                  <c:v>28.383945080873598</c:v>
                </c:pt>
                <c:pt idx="243">
                  <c:v>28.4594684398364</c:v>
                </c:pt>
                <c:pt idx="244">
                  <c:v>28.537177778350699</c:v>
                </c:pt>
                <c:pt idx="245">
                  <c:v>28.614552068693499</c:v>
                </c:pt>
                <c:pt idx="246">
                  <c:v>28.684152092816898</c:v>
                </c:pt>
                <c:pt idx="247">
                  <c:v>28.760847842067001</c:v>
                </c:pt>
                <c:pt idx="248">
                  <c:v>28.8347492356455</c:v>
                </c:pt>
                <c:pt idx="249">
                  <c:v>28.910791649121499</c:v>
                </c:pt>
                <c:pt idx="250">
                  <c:v>28.984070820917399</c:v>
                </c:pt>
                <c:pt idx="251">
                  <c:v>29.059473796776398</c:v>
                </c:pt>
                <c:pt idx="252">
                  <c:v>29.134554498230901</c:v>
                </c:pt>
                <c:pt idx="253">
                  <c:v>29.2069080865366</c:v>
                </c:pt>
                <c:pt idx="254">
                  <c:v>29.2813598747009</c:v>
                </c:pt>
                <c:pt idx="255">
                  <c:v>29.353108178891699</c:v>
                </c:pt>
                <c:pt idx="256">
                  <c:v>29.4269379417259</c:v>
                </c:pt>
                <c:pt idx="257">
                  <c:v>29.500454209880601</c:v>
                </c:pt>
                <c:pt idx="258">
                  <c:v>29.568945235113599</c:v>
                </c:pt>
                <c:pt idx="259">
                  <c:v>29.641818087530002</c:v>
                </c:pt>
                <c:pt idx="260">
                  <c:v>29.7120424253783</c:v>
                </c:pt>
                <c:pt idx="261">
                  <c:v>29.784306015544001</c:v>
                </c:pt>
                <c:pt idx="262">
                  <c:v>29.853948286439799</c:v>
                </c:pt>
                <c:pt idx="263">
                  <c:v>29.925613713836999</c:v>
                </c:pt>
                <c:pt idx="264">
                  <c:v>29.9969776748733</c:v>
                </c:pt>
                <c:pt idx="265">
                  <c:v>30.065754123058699</c:v>
                </c:pt>
                <c:pt idx="266">
                  <c:v>30.136529785186699</c:v>
                </c:pt>
                <c:pt idx="267">
                  <c:v>30.2047400413128</c:v>
                </c:pt>
                <c:pt idx="268">
                  <c:v>30.274933853915002</c:v>
                </c:pt>
                <c:pt idx="269">
                  <c:v>30.344834420942401</c:v>
                </c:pt>
                <c:pt idx="270">
                  <c:v>30.407719728410399</c:v>
                </c:pt>
                <c:pt idx="271">
                  <c:v>30.477030236665598</c:v>
                </c:pt>
                <c:pt idx="272">
                  <c:v>30.543826569797499</c:v>
                </c:pt>
                <c:pt idx="273">
                  <c:v>30.612567297888301</c:v>
                </c:pt>
                <c:pt idx="274">
                  <c:v>30.6788190260006</c:v>
                </c:pt>
                <c:pt idx="275">
                  <c:v>30.747000084396699</c:v>
                </c:pt>
                <c:pt idx="276">
                  <c:v>30.814899071967801</c:v>
                </c:pt>
                <c:pt idx="277">
                  <c:v>30.8803406816746</c:v>
                </c:pt>
                <c:pt idx="278">
                  <c:v>30.947689208933198</c:v>
                </c:pt>
                <c:pt idx="279">
                  <c:v>31.012601035312201</c:v>
                </c:pt>
                <c:pt idx="280">
                  <c:v>31.079405119584202</c:v>
                </c:pt>
                <c:pt idx="281">
                  <c:v>31.145934803154098</c:v>
                </c:pt>
                <c:pt idx="282">
                  <c:v>31.205791547043699</c:v>
                </c:pt>
                <c:pt idx="283">
                  <c:v>31.271771117014801</c:v>
                </c:pt>
                <c:pt idx="284">
                  <c:v>31.3353620338609</c:v>
                </c:pt>
                <c:pt idx="285">
                  <c:v>31.4008085953406</c:v>
                </c:pt>
                <c:pt idx="286">
                  <c:v>31.463889831297301</c:v>
                </c:pt>
                <c:pt idx="287">
                  <c:v>31.5288125995027</c:v>
                </c:pt>
                <c:pt idx="288">
                  <c:v>31.593471367359498</c:v>
                </c:pt>
                <c:pt idx="289">
                  <c:v>31.655794383794699</c:v>
                </c:pt>
                <c:pt idx="290">
                  <c:v>31.719937932671201</c:v>
                </c:pt>
                <c:pt idx="291">
                  <c:v>31.781765067868701</c:v>
                </c:pt>
                <c:pt idx="292">
                  <c:v>31.845398997467999</c:v>
                </c:pt>
                <c:pt idx="293">
                  <c:v>31.908776064552502</c:v>
                </c:pt>
                <c:pt idx="294">
                  <c:v>31.965800269561999</c:v>
                </c:pt>
                <c:pt idx="295">
                  <c:v>32.028665070144598</c:v>
                </c:pt>
                <c:pt idx="296">
                  <c:v>32.089257490461797</c:v>
                </c:pt>
                <c:pt idx="297">
                  <c:v>32.1516224368388</c:v>
                </c:pt>
                <c:pt idx="298">
                  <c:v>32.2117376552129</c:v>
                </c:pt>
                <c:pt idx="299">
                  <c:v>32.273612167117399</c:v>
                </c:pt>
                <c:pt idx="300">
                  <c:v>32.335239476843199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2-4B3D-81C8-C4D80ADA9C5D}"/>
            </c:ext>
          </c:extLst>
        </c:ser>
        <c:ser>
          <c:idx val="1"/>
          <c:order val="1"/>
          <c:tx>
            <c:strRef>
              <c:f>LIS_CEA_01!$F$8:$F$9</c:f>
              <c:strCache>
                <c:ptCount val="2"/>
                <c:pt idx="0">
                  <c:v>C mass of forest debris</c:v>
                </c:pt>
                <c:pt idx="1">
                  <c:v>tC/ha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LIS_CEA_01!$A$10:$A$313</c:f>
              <c:numCache>
                <c:formatCode>General</c:formatCode>
                <c:ptCount val="304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2011</c:v>
                </c:pt>
                <c:pt idx="6">
                  <c:v>2011</c:v>
                </c:pt>
                <c:pt idx="7">
                  <c:v>2011</c:v>
                </c:pt>
                <c:pt idx="8">
                  <c:v>2011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2011</c:v>
                </c:pt>
                <c:pt idx="14">
                  <c:v>2011</c:v>
                </c:pt>
                <c:pt idx="15">
                  <c:v>2011</c:v>
                </c:pt>
                <c:pt idx="16">
                  <c:v>2011</c:v>
                </c:pt>
                <c:pt idx="17">
                  <c:v>2012</c:v>
                </c:pt>
                <c:pt idx="18">
                  <c:v>2012</c:v>
                </c:pt>
                <c:pt idx="19">
                  <c:v>2012</c:v>
                </c:pt>
                <c:pt idx="20">
                  <c:v>2012</c:v>
                </c:pt>
                <c:pt idx="21">
                  <c:v>2012</c:v>
                </c:pt>
                <c:pt idx="22">
                  <c:v>2012</c:v>
                </c:pt>
                <c:pt idx="23">
                  <c:v>2012</c:v>
                </c:pt>
                <c:pt idx="24">
                  <c:v>2012</c:v>
                </c:pt>
                <c:pt idx="25">
                  <c:v>2012</c:v>
                </c:pt>
                <c:pt idx="26">
                  <c:v>2012</c:v>
                </c:pt>
                <c:pt idx="27">
                  <c:v>2012</c:v>
                </c:pt>
                <c:pt idx="28">
                  <c:v>2012</c:v>
                </c:pt>
                <c:pt idx="29">
                  <c:v>2013</c:v>
                </c:pt>
                <c:pt idx="30">
                  <c:v>2013</c:v>
                </c:pt>
                <c:pt idx="31">
                  <c:v>2013</c:v>
                </c:pt>
                <c:pt idx="32">
                  <c:v>2013</c:v>
                </c:pt>
                <c:pt idx="33">
                  <c:v>2013</c:v>
                </c:pt>
                <c:pt idx="34">
                  <c:v>2013</c:v>
                </c:pt>
                <c:pt idx="35">
                  <c:v>2013</c:v>
                </c:pt>
                <c:pt idx="36">
                  <c:v>2013</c:v>
                </c:pt>
                <c:pt idx="37">
                  <c:v>2013</c:v>
                </c:pt>
                <c:pt idx="38">
                  <c:v>2013</c:v>
                </c:pt>
                <c:pt idx="39">
                  <c:v>2013</c:v>
                </c:pt>
                <c:pt idx="40">
                  <c:v>2013</c:v>
                </c:pt>
                <c:pt idx="41">
                  <c:v>2014</c:v>
                </c:pt>
                <c:pt idx="42">
                  <c:v>2014</c:v>
                </c:pt>
                <c:pt idx="43">
                  <c:v>2014</c:v>
                </c:pt>
                <c:pt idx="44">
                  <c:v>2014</c:v>
                </c:pt>
                <c:pt idx="45">
                  <c:v>2014</c:v>
                </c:pt>
                <c:pt idx="46">
                  <c:v>2014</c:v>
                </c:pt>
                <c:pt idx="47">
                  <c:v>2014</c:v>
                </c:pt>
                <c:pt idx="48">
                  <c:v>2014</c:v>
                </c:pt>
                <c:pt idx="49">
                  <c:v>2014</c:v>
                </c:pt>
                <c:pt idx="50">
                  <c:v>2014</c:v>
                </c:pt>
                <c:pt idx="51">
                  <c:v>2014</c:v>
                </c:pt>
                <c:pt idx="52">
                  <c:v>2014</c:v>
                </c:pt>
                <c:pt idx="53">
                  <c:v>2015</c:v>
                </c:pt>
                <c:pt idx="54">
                  <c:v>2015</c:v>
                </c:pt>
                <c:pt idx="55">
                  <c:v>2015</c:v>
                </c:pt>
                <c:pt idx="56">
                  <c:v>2015</c:v>
                </c:pt>
                <c:pt idx="57">
                  <c:v>2015</c:v>
                </c:pt>
                <c:pt idx="58">
                  <c:v>2015</c:v>
                </c:pt>
                <c:pt idx="59">
                  <c:v>2015</c:v>
                </c:pt>
                <c:pt idx="60">
                  <c:v>2015</c:v>
                </c:pt>
                <c:pt idx="61">
                  <c:v>2015</c:v>
                </c:pt>
                <c:pt idx="62">
                  <c:v>2015</c:v>
                </c:pt>
                <c:pt idx="63">
                  <c:v>2015</c:v>
                </c:pt>
                <c:pt idx="64">
                  <c:v>2015</c:v>
                </c:pt>
                <c:pt idx="65">
                  <c:v>2016</c:v>
                </c:pt>
                <c:pt idx="66">
                  <c:v>2016</c:v>
                </c:pt>
                <c:pt idx="67">
                  <c:v>2016</c:v>
                </c:pt>
                <c:pt idx="68">
                  <c:v>2016</c:v>
                </c:pt>
                <c:pt idx="69">
                  <c:v>2016</c:v>
                </c:pt>
                <c:pt idx="70">
                  <c:v>2016</c:v>
                </c:pt>
                <c:pt idx="71">
                  <c:v>2016</c:v>
                </c:pt>
                <c:pt idx="72">
                  <c:v>2016</c:v>
                </c:pt>
                <c:pt idx="73">
                  <c:v>2016</c:v>
                </c:pt>
                <c:pt idx="74">
                  <c:v>2016</c:v>
                </c:pt>
                <c:pt idx="75">
                  <c:v>2016</c:v>
                </c:pt>
                <c:pt idx="76">
                  <c:v>2016</c:v>
                </c:pt>
                <c:pt idx="77">
                  <c:v>2017</c:v>
                </c:pt>
                <c:pt idx="78">
                  <c:v>2017</c:v>
                </c:pt>
                <c:pt idx="79">
                  <c:v>2017</c:v>
                </c:pt>
                <c:pt idx="80">
                  <c:v>2017</c:v>
                </c:pt>
                <c:pt idx="81">
                  <c:v>2017</c:v>
                </c:pt>
                <c:pt idx="82">
                  <c:v>2017</c:v>
                </c:pt>
                <c:pt idx="83">
                  <c:v>2017</c:v>
                </c:pt>
                <c:pt idx="84">
                  <c:v>2017</c:v>
                </c:pt>
                <c:pt idx="85">
                  <c:v>2017</c:v>
                </c:pt>
                <c:pt idx="86">
                  <c:v>2017</c:v>
                </c:pt>
                <c:pt idx="87">
                  <c:v>2017</c:v>
                </c:pt>
                <c:pt idx="88">
                  <c:v>2017</c:v>
                </c:pt>
                <c:pt idx="89">
                  <c:v>2018</c:v>
                </c:pt>
                <c:pt idx="90">
                  <c:v>2018</c:v>
                </c:pt>
                <c:pt idx="91">
                  <c:v>2018</c:v>
                </c:pt>
                <c:pt idx="92">
                  <c:v>2018</c:v>
                </c:pt>
                <c:pt idx="93">
                  <c:v>2018</c:v>
                </c:pt>
                <c:pt idx="94">
                  <c:v>2018</c:v>
                </c:pt>
                <c:pt idx="95">
                  <c:v>2018</c:v>
                </c:pt>
                <c:pt idx="96">
                  <c:v>2018</c:v>
                </c:pt>
                <c:pt idx="97">
                  <c:v>2018</c:v>
                </c:pt>
                <c:pt idx="98">
                  <c:v>2018</c:v>
                </c:pt>
                <c:pt idx="99">
                  <c:v>2018</c:v>
                </c:pt>
                <c:pt idx="100">
                  <c:v>2018</c:v>
                </c:pt>
                <c:pt idx="101">
                  <c:v>2019</c:v>
                </c:pt>
                <c:pt idx="102">
                  <c:v>2019</c:v>
                </c:pt>
                <c:pt idx="103">
                  <c:v>2019</c:v>
                </c:pt>
                <c:pt idx="104">
                  <c:v>2019</c:v>
                </c:pt>
                <c:pt idx="105">
                  <c:v>2019</c:v>
                </c:pt>
                <c:pt idx="106">
                  <c:v>2019</c:v>
                </c:pt>
                <c:pt idx="107">
                  <c:v>2019</c:v>
                </c:pt>
                <c:pt idx="108">
                  <c:v>2019</c:v>
                </c:pt>
                <c:pt idx="109">
                  <c:v>2019</c:v>
                </c:pt>
                <c:pt idx="110">
                  <c:v>2019</c:v>
                </c:pt>
                <c:pt idx="111">
                  <c:v>2019</c:v>
                </c:pt>
                <c:pt idx="112">
                  <c:v>2019</c:v>
                </c:pt>
                <c:pt idx="113">
                  <c:v>2020</c:v>
                </c:pt>
                <c:pt idx="114">
                  <c:v>2020</c:v>
                </c:pt>
                <c:pt idx="115">
                  <c:v>2020</c:v>
                </c:pt>
                <c:pt idx="116">
                  <c:v>2020</c:v>
                </c:pt>
                <c:pt idx="117">
                  <c:v>2020</c:v>
                </c:pt>
                <c:pt idx="118">
                  <c:v>2020</c:v>
                </c:pt>
                <c:pt idx="119">
                  <c:v>2020</c:v>
                </c:pt>
                <c:pt idx="120">
                  <c:v>2020</c:v>
                </c:pt>
                <c:pt idx="121">
                  <c:v>2020</c:v>
                </c:pt>
                <c:pt idx="122">
                  <c:v>2020</c:v>
                </c:pt>
                <c:pt idx="123">
                  <c:v>2020</c:v>
                </c:pt>
                <c:pt idx="124">
                  <c:v>2020</c:v>
                </c:pt>
                <c:pt idx="125">
                  <c:v>2021</c:v>
                </c:pt>
                <c:pt idx="126">
                  <c:v>2021</c:v>
                </c:pt>
                <c:pt idx="127">
                  <c:v>2021</c:v>
                </c:pt>
                <c:pt idx="128">
                  <c:v>2021</c:v>
                </c:pt>
                <c:pt idx="129">
                  <c:v>2021</c:v>
                </c:pt>
                <c:pt idx="130">
                  <c:v>2021</c:v>
                </c:pt>
                <c:pt idx="131">
                  <c:v>2021</c:v>
                </c:pt>
                <c:pt idx="132">
                  <c:v>2021</c:v>
                </c:pt>
                <c:pt idx="133">
                  <c:v>2021</c:v>
                </c:pt>
                <c:pt idx="134">
                  <c:v>2021</c:v>
                </c:pt>
                <c:pt idx="135">
                  <c:v>2021</c:v>
                </c:pt>
                <c:pt idx="136">
                  <c:v>2021</c:v>
                </c:pt>
                <c:pt idx="137">
                  <c:v>2022</c:v>
                </c:pt>
                <c:pt idx="138">
                  <c:v>2022</c:v>
                </c:pt>
                <c:pt idx="139">
                  <c:v>2022</c:v>
                </c:pt>
                <c:pt idx="140">
                  <c:v>2022</c:v>
                </c:pt>
                <c:pt idx="141">
                  <c:v>2022</c:v>
                </c:pt>
                <c:pt idx="142">
                  <c:v>2022</c:v>
                </c:pt>
                <c:pt idx="143">
                  <c:v>2022</c:v>
                </c:pt>
                <c:pt idx="144">
                  <c:v>2022</c:v>
                </c:pt>
                <c:pt idx="145">
                  <c:v>2022</c:v>
                </c:pt>
                <c:pt idx="146">
                  <c:v>2022</c:v>
                </c:pt>
                <c:pt idx="147">
                  <c:v>2022</c:v>
                </c:pt>
                <c:pt idx="148">
                  <c:v>2022</c:v>
                </c:pt>
                <c:pt idx="149">
                  <c:v>2023</c:v>
                </c:pt>
                <c:pt idx="150">
                  <c:v>2023</c:v>
                </c:pt>
                <c:pt idx="151">
                  <c:v>2023</c:v>
                </c:pt>
                <c:pt idx="152">
                  <c:v>2023</c:v>
                </c:pt>
                <c:pt idx="153">
                  <c:v>2023</c:v>
                </c:pt>
                <c:pt idx="154">
                  <c:v>2023</c:v>
                </c:pt>
                <c:pt idx="155">
                  <c:v>2023</c:v>
                </c:pt>
                <c:pt idx="156">
                  <c:v>2023</c:v>
                </c:pt>
                <c:pt idx="157">
                  <c:v>2023</c:v>
                </c:pt>
                <c:pt idx="158">
                  <c:v>2023</c:v>
                </c:pt>
                <c:pt idx="159">
                  <c:v>2023</c:v>
                </c:pt>
                <c:pt idx="160">
                  <c:v>2023</c:v>
                </c:pt>
                <c:pt idx="161">
                  <c:v>2024</c:v>
                </c:pt>
                <c:pt idx="162">
                  <c:v>2024</c:v>
                </c:pt>
                <c:pt idx="163">
                  <c:v>2024</c:v>
                </c:pt>
                <c:pt idx="164">
                  <c:v>2024</c:v>
                </c:pt>
                <c:pt idx="165">
                  <c:v>2024</c:v>
                </c:pt>
                <c:pt idx="166">
                  <c:v>2024</c:v>
                </c:pt>
                <c:pt idx="167">
                  <c:v>2024</c:v>
                </c:pt>
                <c:pt idx="168">
                  <c:v>2024</c:v>
                </c:pt>
                <c:pt idx="169">
                  <c:v>2024</c:v>
                </c:pt>
                <c:pt idx="170">
                  <c:v>2024</c:v>
                </c:pt>
                <c:pt idx="171">
                  <c:v>2024</c:v>
                </c:pt>
                <c:pt idx="172">
                  <c:v>2024</c:v>
                </c:pt>
                <c:pt idx="173">
                  <c:v>2025</c:v>
                </c:pt>
                <c:pt idx="174">
                  <c:v>2025</c:v>
                </c:pt>
                <c:pt idx="175">
                  <c:v>2025</c:v>
                </c:pt>
                <c:pt idx="176">
                  <c:v>2025</c:v>
                </c:pt>
                <c:pt idx="177">
                  <c:v>2025</c:v>
                </c:pt>
                <c:pt idx="178">
                  <c:v>2025</c:v>
                </c:pt>
                <c:pt idx="179">
                  <c:v>2025</c:v>
                </c:pt>
                <c:pt idx="180">
                  <c:v>2025</c:v>
                </c:pt>
                <c:pt idx="181">
                  <c:v>2025</c:v>
                </c:pt>
                <c:pt idx="182">
                  <c:v>2025</c:v>
                </c:pt>
                <c:pt idx="183">
                  <c:v>2025</c:v>
                </c:pt>
                <c:pt idx="184">
                  <c:v>2025</c:v>
                </c:pt>
                <c:pt idx="185">
                  <c:v>2026</c:v>
                </c:pt>
                <c:pt idx="186">
                  <c:v>2026</c:v>
                </c:pt>
                <c:pt idx="187">
                  <c:v>2026</c:v>
                </c:pt>
                <c:pt idx="188">
                  <c:v>2026</c:v>
                </c:pt>
                <c:pt idx="189">
                  <c:v>2026</c:v>
                </c:pt>
                <c:pt idx="190">
                  <c:v>2026</c:v>
                </c:pt>
                <c:pt idx="191">
                  <c:v>2026</c:v>
                </c:pt>
                <c:pt idx="192">
                  <c:v>2026</c:v>
                </c:pt>
                <c:pt idx="193">
                  <c:v>2026</c:v>
                </c:pt>
                <c:pt idx="194">
                  <c:v>2026</c:v>
                </c:pt>
                <c:pt idx="195">
                  <c:v>2026</c:v>
                </c:pt>
                <c:pt idx="196">
                  <c:v>2026</c:v>
                </c:pt>
                <c:pt idx="197">
                  <c:v>2027</c:v>
                </c:pt>
                <c:pt idx="198">
                  <c:v>2027</c:v>
                </c:pt>
                <c:pt idx="199">
                  <c:v>2027</c:v>
                </c:pt>
                <c:pt idx="200">
                  <c:v>2027</c:v>
                </c:pt>
                <c:pt idx="201">
                  <c:v>2027</c:v>
                </c:pt>
                <c:pt idx="202">
                  <c:v>2027</c:v>
                </c:pt>
                <c:pt idx="203">
                  <c:v>2027</c:v>
                </c:pt>
                <c:pt idx="204">
                  <c:v>2027</c:v>
                </c:pt>
                <c:pt idx="205">
                  <c:v>2027</c:v>
                </c:pt>
                <c:pt idx="206">
                  <c:v>2027</c:v>
                </c:pt>
                <c:pt idx="207">
                  <c:v>2027</c:v>
                </c:pt>
                <c:pt idx="208">
                  <c:v>2027</c:v>
                </c:pt>
                <c:pt idx="209">
                  <c:v>2028</c:v>
                </c:pt>
                <c:pt idx="210">
                  <c:v>2028</c:v>
                </c:pt>
                <c:pt idx="211">
                  <c:v>2028</c:v>
                </c:pt>
                <c:pt idx="212">
                  <c:v>2028</c:v>
                </c:pt>
                <c:pt idx="213">
                  <c:v>2028</c:v>
                </c:pt>
                <c:pt idx="214">
                  <c:v>2028</c:v>
                </c:pt>
                <c:pt idx="215">
                  <c:v>2028</c:v>
                </c:pt>
                <c:pt idx="216">
                  <c:v>2028</c:v>
                </c:pt>
                <c:pt idx="217">
                  <c:v>2028</c:v>
                </c:pt>
                <c:pt idx="218">
                  <c:v>2028</c:v>
                </c:pt>
                <c:pt idx="219">
                  <c:v>2028</c:v>
                </c:pt>
                <c:pt idx="220">
                  <c:v>2028</c:v>
                </c:pt>
                <c:pt idx="221">
                  <c:v>2029</c:v>
                </c:pt>
                <c:pt idx="222">
                  <c:v>2029</c:v>
                </c:pt>
                <c:pt idx="223">
                  <c:v>2029</c:v>
                </c:pt>
                <c:pt idx="224">
                  <c:v>2029</c:v>
                </c:pt>
                <c:pt idx="225">
                  <c:v>2029</c:v>
                </c:pt>
                <c:pt idx="226">
                  <c:v>2029</c:v>
                </c:pt>
                <c:pt idx="227">
                  <c:v>2029</c:v>
                </c:pt>
                <c:pt idx="228">
                  <c:v>2029</c:v>
                </c:pt>
                <c:pt idx="229">
                  <c:v>2029</c:v>
                </c:pt>
                <c:pt idx="230">
                  <c:v>2029</c:v>
                </c:pt>
                <c:pt idx="231">
                  <c:v>2029</c:v>
                </c:pt>
                <c:pt idx="232">
                  <c:v>2029</c:v>
                </c:pt>
                <c:pt idx="233">
                  <c:v>2030</c:v>
                </c:pt>
                <c:pt idx="234">
                  <c:v>2030</c:v>
                </c:pt>
                <c:pt idx="235">
                  <c:v>2030</c:v>
                </c:pt>
                <c:pt idx="236">
                  <c:v>2030</c:v>
                </c:pt>
                <c:pt idx="237">
                  <c:v>2030</c:v>
                </c:pt>
                <c:pt idx="238">
                  <c:v>2030</c:v>
                </c:pt>
                <c:pt idx="239">
                  <c:v>2030</c:v>
                </c:pt>
                <c:pt idx="240">
                  <c:v>2030</c:v>
                </c:pt>
                <c:pt idx="241">
                  <c:v>2030</c:v>
                </c:pt>
                <c:pt idx="242">
                  <c:v>2030</c:v>
                </c:pt>
                <c:pt idx="243">
                  <c:v>2030</c:v>
                </c:pt>
                <c:pt idx="244">
                  <c:v>2030</c:v>
                </c:pt>
                <c:pt idx="245">
                  <c:v>2031</c:v>
                </c:pt>
                <c:pt idx="246">
                  <c:v>2031</c:v>
                </c:pt>
                <c:pt idx="247">
                  <c:v>2031</c:v>
                </c:pt>
                <c:pt idx="248">
                  <c:v>2031</c:v>
                </c:pt>
                <c:pt idx="249">
                  <c:v>2031</c:v>
                </c:pt>
                <c:pt idx="250">
                  <c:v>2031</c:v>
                </c:pt>
                <c:pt idx="251">
                  <c:v>2031</c:v>
                </c:pt>
                <c:pt idx="252">
                  <c:v>2031</c:v>
                </c:pt>
                <c:pt idx="253">
                  <c:v>2031</c:v>
                </c:pt>
                <c:pt idx="254">
                  <c:v>2031</c:v>
                </c:pt>
                <c:pt idx="255">
                  <c:v>2031</c:v>
                </c:pt>
                <c:pt idx="256">
                  <c:v>2031</c:v>
                </c:pt>
                <c:pt idx="257">
                  <c:v>2032</c:v>
                </c:pt>
                <c:pt idx="258">
                  <c:v>2032</c:v>
                </c:pt>
                <c:pt idx="259">
                  <c:v>2032</c:v>
                </c:pt>
                <c:pt idx="260">
                  <c:v>2032</c:v>
                </c:pt>
                <c:pt idx="261">
                  <c:v>2032</c:v>
                </c:pt>
                <c:pt idx="262">
                  <c:v>2032</c:v>
                </c:pt>
                <c:pt idx="263">
                  <c:v>2032</c:v>
                </c:pt>
                <c:pt idx="264">
                  <c:v>2032</c:v>
                </c:pt>
                <c:pt idx="265">
                  <c:v>2032</c:v>
                </c:pt>
                <c:pt idx="266">
                  <c:v>2032</c:v>
                </c:pt>
                <c:pt idx="267">
                  <c:v>2032</c:v>
                </c:pt>
                <c:pt idx="268">
                  <c:v>2032</c:v>
                </c:pt>
                <c:pt idx="269">
                  <c:v>2033</c:v>
                </c:pt>
                <c:pt idx="270">
                  <c:v>2033</c:v>
                </c:pt>
                <c:pt idx="271">
                  <c:v>2033</c:v>
                </c:pt>
                <c:pt idx="272">
                  <c:v>2033</c:v>
                </c:pt>
                <c:pt idx="273">
                  <c:v>2033</c:v>
                </c:pt>
                <c:pt idx="274">
                  <c:v>2033</c:v>
                </c:pt>
                <c:pt idx="275">
                  <c:v>2033</c:v>
                </c:pt>
                <c:pt idx="276">
                  <c:v>2033</c:v>
                </c:pt>
                <c:pt idx="277">
                  <c:v>2033</c:v>
                </c:pt>
                <c:pt idx="278">
                  <c:v>2033</c:v>
                </c:pt>
                <c:pt idx="279">
                  <c:v>2033</c:v>
                </c:pt>
                <c:pt idx="280">
                  <c:v>2033</c:v>
                </c:pt>
                <c:pt idx="281">
                  <c:v>2034</c:v>
                </c:pt>
                <c:pt idx="282">
                  <c:v>2034</c:v>
                </c:pt>
                <c:pt idx="283">
                  <c:v>2034</c:v>
                </c:pt>
                <c:pt idx="284">
                  <c:v>2034</c:v>
                </c:pt>
                <c:pt idx="285">
                  <c:v>2034</c:v>
                </c:pt>
                <c:pt idx="286">
                  <c:v>2034</c:v>
                </c:pt>
                <c:pt idx="287">
                  <c:v>2034</c:v>
                </c:pt>
                <c:pt idx="288">
                  <c:v>2034</c:v>
                </c:pt>
                <c:pt idx="289">
                  <c:v>2034</c:v>
                </c:pt>
                <c:pt idx="290">
                  <c:v>2034</c:v>
                </c:pt>
                <c:pt idx="291">
                  <c:v>2034</c:v>
                </c:pt>
                <c:pt idx="292">
                  <c:v>2034</c:v>
                </c:pt>
                <c:pt idx="293">
                  <c:v>2035</c:v>
                </c:pt>
                <c:pt idx="294">
                  <c:v>2035</c:v>
                </c:pt>
                <c:pt idx="295">
                  <c:v>2035</c:v>
                </c:pt>
                <c:pt idx="296">
                  <c:v>2035</c:v>
                </c:pt>
                <c:pt idx="297">
                  <c:v>2035</c:v>
                </c:pt>
                <c:pt idx="298">
                  <c:v>2035</c:v>
                </c:pt>
                <c:pt idx="299">
                  <c:v>2035</c:v>
                </c:pt>
                <c:pt idx="300">
                  <c:v>2035</c:v>
                </c:pt>
              </c:numCache>
            </c:numRef>
          </c:cat>
          <c:val>
            <c:numRef>
              <c:f>LIS_CEA_01!$F$10:$F$311</c:f>
              <c:numCache>
                <c:formatCode>General</c:formatCode>
                <c:ptCount val="302"/>
                <c:pt idx="0">
                  <c:v>0</c:v>
                </c:pt>
                <c:pt idx="1">
                  <c:v>3.7001182927979999E-3</c:v>
                </c:pt>
                <c:pt idx="2">
                  <c:v>7.3371067827970003E-3</c:v>
                </c:pt>
                <c:pt idx="3">
                  <c:v>1.0740389641505E-2</c:v>
                </c:pt>
                <c:pt idx="4">
                  <c:v>1.4177466994267E-2</c:v>
                </c:pt>
                <c:pt idx="5">
                  <c:v>1.7737742298752999E-2</c:v>
                </c:pt>
                <c:pt idx="6">
                  <c:v>2.0673934354882999E-2</c:v>
                </c:pt>
                <c:pt idx="7">
                  <c:v>2.3911576117224002E-2</c:v>
                </c:pt>
                <c:pt idx="8">
                  <c:v>2.7229564841020001E-2</c:v>
                </c:pt>
                <c:pt idx="9">
                  <c:v>3.028486941584E-2</c:v>
                </c:pt>
                <c:pt idx="10">
                  <c:v>3.3778267840071999E-2</c:v>
                </c:pt>
                <c:pt idx="11">
                  <c:v>3.7048600516072998E-2</c:v>
                </c:pt>
                <c:pt idx="12">
                  <c:v>3.9775651589429001E-2</c:v>
                </c:pt>
                <c:pt idx="13">
                  <c:v>4.2700523592829998E-2</c:v>
                </c:pt>
                <c:pt idx="14">
                  <c:v>4.5463206871759997E-2</c:v>
                </c:pt>
                <c:pt idx="15">
                  <c:v>4.7894309624787003E-2</c:v>
                </c:pt>
                <c:pt idx="16">
                  <c:v>5.0401481542302999E-2</c:v>
                </c:pt>
                <c:pt idx="17">
                  <c:v>5.297010935918E-2</c:v>
                </c:pt>
                <c:pt idx="18">
                  <c:v>5.5238224307804999E-2</c:v>
                </c:pt>
                <c:pt idx="19">
                  <c:v>5.7621063368438002E-2</c:v>
                </c:pt>
                <c:pt idx="20">
                  <c:v>6.1242945757207998E-2</c:v>
                </c:pt>
                <c:pt idx="21">
                  <c:v>6.3822872285138998E-2</c:v>
                </c:pt>
                <c:pt idx="22">
                  <c:v>6.6200016312213006E-2</c:v>
                </c:pt>
                <c:pt idx="23">
                  <c:v>6.8924895771610997E-2</c:v>
                </c:pt>
                <c:pt idx="24">
                  <c:v>7.1952257236484005E-2</c:v>
                </c:pt>
                <c:pt idx="25">
                  <c:v>7.4570435216495007E-2</c:v>
                </c:pt>
                <c:pt idx="26">
                  <c:v>7.8329399089935997E-2</c:v>
                </c:pt>
                <c:pt idx="27">
                  <c:v>8.1747132098203001E-2</c:v>
                </c:pt>
                <c:pt idx="28">
                  <c:v>8.5277318987630996E-2</c:v>
                </c:pt>
                <c:pt idx="29">
                  <c:v>8.8825740948705004E-2</c:v>
                </c:pt>
                <c:pt idx="30">
                  <c:v>9.1722313068208994E-2</c:v>
                </c:pt>
                <c:pt idx="31">
                  <c:v>9.5067464285969003E-2</c:v>
                </c:pt>
                <c:pt idx="32">
                  <c:v>0.104845091813658</c:v>
                </c:pt>
                <c:pt idx="33">
                  <c:v>0.10547670354416699</c:v>
                </c:pt>
                <c:pt idx="34">
                  <c:v>0.108833669574356</c:v>
                </c:pt>
                <c:pt idx="35">
                  <c:v>0.113660324500726</c:v>
                </c:pt>
                <c:pt idx="36">
                  <c:v>0.118877545309814</c:v>
                </c:pt>
                <c:pt idx="37">
                  <c:v>0.12433744119062599</c:v>
                </c:pt>
                <c:pt idx="38">
                  <c:v>0.13097448370772199</c:v>
                </c:pt>
                <c:pt idx="39">
                  <c:v>0.13645027318255601</c:v>
                </c:pt>
                <c:pt idx="40">
                  <c:v>0.143414478572197</c:v>
                </c:pt>
                <c:pt idx="41">
                  <c:v>0.150989928916474</c:v>
                </c:pt>
                <c:pt idx="42">
                  <c:v>0.15743060217472199</c:v>
                </c:pt>
                <c:pt idx="43">
                  <c:v>0.16458758030023099</c:v>
                </c:pt>
                <c:pt idx="44">
                  <c:v>0.172827891161104</c:v>
                </c:pt>
                <c:pt idx="45">
                  <c:v>0.18203658289182501</c:v>
                </c:pt>
                <c:pt idx="46">
                  <c:v>0.19065487223267899</c:v>
                </c:pt>
                <c:pt idx="47">
                  <c:v>0.201244992101447</c:v>
                </c:pt>
                <c:pt idx="48">
                  <c:v>0.21394654139195701</c:v>
                </c:pt>
                <c:pt idx="49">
                  <c:v>0.22519951011579201</c:v>
                </c:pt>
                <c:pt idx="50">
                  <c:v>0.23716255148096599</c:v>
                </c:pt>
                <c:pt idx="51">
                  <c:v>0.251290457284089</c:v>
                </c:pt>
                <c:pt idx="52">
                  <c:v>0.263265485193385</c:v>
                </c:pt>
                <c:pt idx="53">
                  <c:v>0.27658485658465998</c:v>
                </c:pt>
                <c:pt idx="54">
                  <c:v>0.28943859661584598</c:v>
                </c:pt>
                <c:pt idx="55">
                  <c:v>0.30516091992509597</c:v>
                </c:pt>
                <c:pt idx="56">
                  <c:v>0.32162650442570501</c:v>
                </c:pt>
                <c:pt idx="57">
                  <c:v>0.33881328685819101</c:v>
                </c:pt>
                <c:pt idx="58">
                  <c:v>0.35600819722570698</c:v>
                </c:pt>
                <c:pt idx="59">
                  <c:v>0.37405220597623701</c:v>
                </c:pt>
                <c:pt idx="60">
                  <c:v>0.39309868502836098</c:v>
                </c:pt>
                <c:pt idx="61">
                  <c:v>0.41215548184761902</c:v>
                </c:pt>
                <c:pt idx="62">
                  <c:v>0.43256390882383799</c:v>
                </c:pt>
                <c:pt idx="63">
                  <c:v>0.45301614970486498</c:v>
                </c:pt>
                <c:pt idx="64">
                  <c:v>0.47478439963428498</c:v>
                </c:pt>
                <c:pt idx="65">
                  <c:v>0.49710805812513098</c:v>
                </c:pt>
                <c:pt idx="66">
                  <c:v>0.51893127042536702</c:v>
                </c:pt>
                <c:pt idx="67">
                  <c:v>0.54435593273087302</c:v>
                </c:pt>
                <c:pt idx="68">
                  <c:v>0.57034993965713698</c:v>
                </c:pt>
                <c:pt idx="69">
                  <c:v>0.59699974233584696</c:v>
                </c:pt>
                <c:pt idx="70">
                  <c:v>0.62228188931307005</c:v>
                </c:pt>
                <c:pt idx="71">
                  <c:v>0.65081174461939295</c:v>
                </c:pt>
                <c:pt idx="72">
                  <c:v>0.680719439317227</c:v>
                </c:pt>
                <c:pt idx="73">
                  <c:v>0.71138992952241897</c:v>
                </c:pt>
                <c:pt idx="74">
                  <c:v>0.74494660425792003</c:v>
                </c:pt>
                <c:pt idx="75">
                  <c:v>0.77907319095564598</c:v>
                </c:pt>
                <c:pt idx="76">
                  <c:v>0.81577388697434305</c:v>
                </c:pt>
                <c:pt idx="77">
                  <c:v>0.85378659411662905</c:v>
                </c:pt>
                <c:pt idx="78">
                  <c:v>0.88990846742492002</c:v>
                </c:pt>
                <c:pt idx="79">
                  <c:v>0.93386251621146199</c:v>
                </c:pt>
                <c:pt idx="80">
                  <c:v>0.97931558945017205</c:v>
                </c:pt>
                <c:pt idx="81">
                  <c:v>1.02631812488888</c:v>
                </c:pt>
                <c:pt idx="82">
                  <c:v>1.0726753203466299</c:v>
                </c:pt>
                <c:pt idx="83">
                  <c:v>1.12002319201401</c:v>
                </c:pt>
                <c:pt idx="84">
                  <c:v>1.1679759634718201</c:v>
                </c:pt>
                <c:pt idx="85">
                  <c:v>1.21422427998177</c:v>
                </c:pt>
                <c:pt idx="86">
                  <c:v>1.26198219437593</c:v>
                </c:pt>
                <c:pt idx="87">
                  <c:v>1.3081412604570699</c:v>
                </c:pt>
                <c:pt idx="88">
                  <c:v>1.3555585481810799</c:v>
                </c:pt>
                <c:pt idx="89">
                  <c:v>1.4024132152070501</c:v>
                </c:pt>
                <c:pt idx="90">
                  <c:v>1.44539529153487</c:v>
                </c:pt>
                <c:pt idx="91">
                  <c:v>1.4967701286783099</c:v>
                </c:pt>
                <c:pt idx="92">
                  <c:v>1.54868379371134</c:v>
                </c:pt>
                <c:pt idx="93">
                  <c:v>1.6000555909744201</c:v>
                </c:pt>
                <c:pt idx="94">
                  <c:v>1.6489997172098401</c:v>
                </c:pt>
                <c:pt idx="95">
                  <c:v>1.6976326643746</c:v>
                </c:pt>
                <c:pt idx="96">
                  <c:v>1.74700585323209</c:v>
                </c:pt>
                <c:pt idx="97">
                  <c:v>1.7943837337362001</c:v>
                </c:pt>
                <c:pt idx="98">
                  <c:v>1.8431306574803099</c:v>
                </c:pt>
                <c:pt idx="99">
                  <c:v>1.8900688679275399</c:v>
                </c:pt>
                <c:pt idx="100">
                  <c:v>1.93803285473569</c:v>
                </c:pt>
                <c:pt idx="101">
                  <c:v>1.9850068561146901</c:v>
                </c:pt>
                <c:pt idx="102">
                  <c:v>2.0282529890357601</c:v>
                </c:pt>
                <c:pt idx="103">
                  <c:v>2.0811963368491599</c:v>
                </c:pt>
                <c:pt idx="104">
                  <c:v>2.13542183865659</c:v>
                </c:pt>
                <c:pt idx="105">
                  <c:v>2.18825972612904</c:v>
                </c:pt>
                <c:pt idx="106">
                  <c:v>2.2381891409454702</c:v>
                </c:pt>
                <c:pt idx="107">
                  <c:v>2.2870267687067001</c:v>
                </c:pt>
                <c:pt idx="108">
                  <c:v>2.3367462779154802</c:v>
                </c:pt>
                <c:pt idx="109">
                  <c:v>2.3842215013470698</c:v>
                </c:pt>
                <c:pt idx="110">
                  <c:v>2.4329002947474399</c:v>
                </c:pt>
                <c:pt idx="111">
                  <c:v>2.4796052686332</c:v>
                </c:pt>
                <c:pt idx="112">
                  <c:v>2.5270830985724202</c:v>
                </c:pt>
                <c:pt idx="113">
                  <c:v>2.57315546378122</c:v>
                </c:pt>
                <c:pt idx="114">
                  <c:v>2.6177587131642901</c:v>
                </c:pt>
                <c:pt idx="115">
                  <c:v>2.6712518925396598</c:v>
                </c:pt>
                <c:pt idx="116">
                  <c:v>2.7263948478861599</c:v>
                </c:pt>
                <c:pt idx="117">
                  <c:v>2.7798116352477402</c:v>
                </c:pt>
                <c:pt idx="118">
                  <c:v>2.8295853663716999</c:v>
                </c:pt>
                <c:pt idx="119">
                  <c:v>2.8778564635990702</c:v>
                </c:pt>
                <c:pt idx="120">
                  <c:v>2.92695393598285</c:v>
                </c:pt>
                <c:pt idx="121">
                  <c:v>2.9736327854154201</c:v>
                </c:pt>
                <c:pt idx="122">
                  <c:v>3.0213389672017201</c:v>
                </c:pt>
                <c:pt idx="123">
                  <c:v>3.0669406370723</c:v>
                </c:pt>
                <c:pt idx="124">
                  <c:v>3.1108819478795899</c:v>
                </c:pt>
                <c:pt idx="125">
                  <c:v>3.1579279248219101</c:v>
                </c:pt>
                <c:pt idx="126">
                  <c:v>3.2006590147165599</c:v>
                </c:pt>
                <c:pt idx="127">
                  <c:v>3.2551703179173299</c:v>
                </c:pt>
                <c:pt idx="128">
                  <c:v>3.31226498352865</c:v>
                </c:pt>
                <c:pt idx="129">
                  <c:v>3.3671036148144</c:v>
                </c:pt>
                <c:pt idx="130">
                  <c:v>3.4180166201854001</c:v>
                </c:pt>
                <c:pt idx="131">
                  <c:v>3.4669290525161802</c:v>
                </c:pt>
                <c:pt idx="132">
                  <c:v>3.5169748728174102</c:v>
                </c:pt>
                <c:pt idx="133">
                  <c:v>3.56449041916659</c:v>
                </c:pt>
                <c:pt idx="134">
                  <c:v>3.6130404335381598</c:v>
                </c:pt>
                <c:pt idx="135">
                  <c:v>3.65942360748189</c:v>
                </c:pt>
                <c:pt idx="136">
                  <c:v>3.7039664103460201</c:v>
                </c:pt>
                <c:pt idx="137">
                  <c:v>3.7509768331451299</c:v>
                </c:pt>
                <c:pt idx="138">
                  <c:v>3.7934123597643401</c:v>
                </c:pt>
                <c:pt idx="139">
                  <c:v>3.8487112479604502</c:v>
                </c:pt>
                <c:pt idx="140">
                  <c:v>3.90724889391706</c:v>
                </c:pt>
                <c:pt idx="141">
                  <c:v>3.9625980996910002</c:v>
                </c:pt>
                <c:pt idx="142">
                  <c:v>4.0134338632564397</c:v>
                </c:pt>
                <c:pt idx="143">
                  <c:v>4.0613772670465504</c:v>
                </c:pt>
                <c:pt idx="144">
                  <c:v>4.1104991118126399</c:v>
                </c:pt>
                <c:pt idx="145">
                  <c:v>4.1568163539424496</c:v>
                </c:pt>
                <c:pt idx="146">
                  <c:v>4.20389664661902</c:v>
                </c:pt>
                <c:pt idx="147">
                  <c:v>4.2486339823335504</c:v>
                </c:pt>
                <c:pt idx="148">
                  <c:v>4.2933919409542698</c:v>
                </c:pt>
                <c:pt idx="149">
                  <c:v>4.3354920234884702</c:v>
                </c:pt>
                <c:pt idx="150">
                  <c:v>4.3753056437837596</c:v>
                </c:pt>
                <c:pt idx="151">
                  <c:v>4.4285017619671798</c:v>
                </c:pt>
                <c:pt idx="152">
                  <c:v>4.4853736196502698</c:v>
                </c:pt>
                <c:pt idx="153">
                  <c:v>4.5377387222235299</c:v>
                </c:pt>
                <c:pt idx="154">
                  <c:v>4.5848565776750103</c:v>
                </c:pt>
                <c:pt idx="155">
                  <c:v>4.6278327623558599</c:v>
                </c:pt>
                <c:pt idx="156">
                  <c:v>4.6717801790620896</c:v>
                </c:pt>
                <c:pt idx="157">
                  <c:v>4.7125832601874196</c:v>
                </c:pt>
                <c:pt idx="158">
                  <c:v>4.7535345016192796</c:v>
                </c:pt>
                <c:pt idx="159">
                  <c:v>4.7919370215147099</c:v>
                </c:pt>
                <c:pt idx="160">
                  <c:v>4.8296846444188199</c:v>
                </c:pt>
                <c:pt idx="161">
                  <c:v>4.8644050292725396</c:v>
                </c:pt>
                <c:pt idx="162">
                  <c:v>4.8995265436347397</c:v>
                </c:pt>
                <c:pt idx="163">
                  <c:v>4.9472790203247996</c:v>
                </c:pt>
                <c:pt idx="164">
                  <c:v>4.9992104362332199</c:v>
                </c:pt>
                <c:pt idx="165">
                  <c:v>5.0461700528407896</c:v>
                </c:pt>
                <c:pt idx="166">
                  <c:v>5.0876859367127203</c:v>
                </c:pt>
                <c:pt idx="167">
                  <c:v>5.1247410271472003</c:v>
                </c:pt>
                <c:pt idx="168">
                  <c:v>5.1629232682098598</c:v>
                </c:pt>
                <c:pt idx="169">
                  <c:v>5.1981636818141803</c:v>
                </c:pt>
                <c:pt idx="170">
                  <c:v>5.2334174501157902</c:v>
                </c:pt>
                <c:pt idx="171">
                  <c:v>5.2663350554794004</c:v>
                </c:pt>
                <c:pt idx="172">
                  <c:v>5.2983250551239296</c:v>
                </c:pt>
                <c:pt idx="173">
                  <c:v>5.3273553221865404</c:v>
                </c:pt>
                <c:pt idx="174">
                  <c:v>5.3564410550193102</c:v>
                </c:pt>
                <c:pt idx="175">
                  <c:v>5.3998521799944097</c:v>
                </c:pt>
                <c:pt idx="176">
                  <c:v>5.4482559653251004</c:v>
                </c:pt>
                <c:pt idx="177">
                  <c:v>5.4910996412586401</c:v>
                </c:pt>
                <c:pt idx="178">
                  <c:v>5.5284289215142097</c:v>
                </c:pt>
                <c:pt idx="179">
                  <c:v>5.5607729315507601</c:v>
                </c:pt>
                <c:pt idx="180">
                  <c:v>5.5944687197441203</c:v>
                </c:pt>
                <c:pt idx="181">
                  <c:v>5.6253443950111901</c:v>
                </c:pt>
                <c:pt idx="182">
                  <c:v>5.6561137242682102</c:v>
                </c:pt>
                <c:pt idx="183">
                  <c:v>5.6847113640751799</c:v>
                </c:pt>
                <c:pt idx="184">
                  <c:v>5.7122047152762798</c:v>
                </c:pt>
                <c:pt idx="185">
                  <c:v>5.7366196432999503</c:v>
                </c:pt>
                <c:pt idx="186">
                  <c:v>5.7618099033263199</c:v>
                </c:pt>
                <c:pt idx="187">
                  <c:v>5.8017905771183003</c:v>
                </c:pt>
                <c:pt idx="188">
                  <c:v>5.8474430853573098</c:v>
                </c:pt>
                <c:pt idx="189">
                  <c:v>5.8870246056771496</c:v>
                </c:pt>
                <c:pt idx="190">
                  <c:v>5.9210086136470501</c:v>
                </c:pt>
                <c:pt idx="191">
                  <c:v>5.9495495869324699</c:v>
                </c:pt>
                <c:pt idx="192">
                  <c:v>5.9796244562983096</c:v>
                </c:pt>
                <c:pt idx="193">
                  <c:v>6.0069642335654203</c:v>
                </c:pt>
                <c:pt idx="194">
                  <c:v>6.0340903334785603</c:v>
                </c:pt>
                <c:pt idx="195">
                  <c:v>6.0591682771367203</c:v>
                </c:pt>
                <c:pt idx="196">
                  <c:v>6.0829846602602604</c:v>
                </c:pt>
                <c:pt idx="197">
                  <c:v>6.1036075548983799</c:v>
                </c:pt>
                <c:pt idx="198">
                  <c:v>6.12560245054026</c:v>
                </c:pt>
                <c:pt idx="199">
                  <c:v>6.1628090677025504</c:v>
                </c:pt>
                <c:pt idx="200">
                  <c:v>6.2062668924128301</c:v>
                </c:pt>
                <c:pt idx="201">
                  <c:v>6.2432038516595796</c:v>
                </c:pt>
                <c:pt idx="202">
                  <c:v>6.2744545011902799</c:v>
                </c:pt>
                <c:pt idx="203">
                  <c:v>6.29985746874351</c:v>
                </c:pt>
                <c:pt idx="204">
                  <c:v>6.3269459731096598</c:v>
                </c:pt>
                <c:pt idx="205">
                  <c:v>6.351359537494</c:v>
                </c:pt>
                <c:pt idx="206">
                  <c:v>6.3754629500849704</c:v>
                </c:pt>
                <c:pt idx="207">
                  <c:v>6.3976132364582003</c:v>
                </c:pt>
                <c:pt idx="208">
                  <c:v>6.4183611018674203</c:v>
                </c:pt>
                <c:pt idx="209">
                  <c:v>6.4358056649214301</c:v>
                </c:pt>
                <c:pt idx="210">
                  <c:v>6.4562277855180596</c:v>
                </c:pt>
                <c:pt idx="211">
                  <c:v>6.4914870779734004</c:v>
                </c:pt>
                <c:pt idx="212">
                  <c:v>6.5328515639680296</c:v>
                </c:pt>
                <c:pt idx="213">
                  <c:v>6.5674692895415703</c:v>
                </c:pt>
                <c:pt idx="214">
                  <c:v>6.5961627491849102</c:v>
                </c:pt>
                <c:pt idx="215">
                  <c:v>6.6190110245422904</c:v>
                </c:pt>
                <c:pt idx="216">
                  <c:v>6.64352282134214</c:v>
                </c:pt>
                <c:pt idx="217">
                  <c:v>6.6654340537705297</c:v>
                </c:pt>
                <c:pt idx="218">
                  <c:v>6.6869464372907501</c:v>
                </c:pt>
                <c:pt idx="219">
                  <c:v>6.7065636382370597</c:v>
                </c:pt>
                <c:pt idx="220">
                  <c:v>6.7245521751787596</c:v>
                </c:pt>
                <c:pt idx="221">
                  <c:v>6.7393863569627701</c:v>
                </c:pt>
                <c:pt idx="222">
                  <c:v>6.75691395039214</c:v>
                </c:pt>
                <c:pt idx="223">
                  <c:v>6.7902671171559099</c:v>
                </c:pt>
                <c:pt idx="224">
                  <c:v>6.8301425976518804</c:v>
                </c:pt>
                <c:pt idx="225">
                  <c:v>6.86291719952201</c:v>
                </c:pt>
                <c:pt idx="226">
                  <c:v>6.8896723908105697</c:v>
                </c:pt>
                <c:pt idx="227">
                  <c:v>6.9102709147857704</c:v>
                </c:pt>
                <c:pt idx="228">
                  <c:v>6.93263901604419</c:v>
                </c:pt>
                <c:pt idx="229">
                  <c:v>6.9524384601572304</c:v>
                </c:pt>
                <c:pt idx="230">
                  <c:v>6.9717601354039997</c:v>
                </c:pt>
                <c:pt idx="231">
                  <c:v>6.9892457551989304</c:v>
                </c:pt>
                <c:pt idx="232">
                  <c:v>7.0049840589202601</c:v>
                </c:pt>
                <c:pt idx="233">
                  <c:v>7.0174793522116303</c:v>
                </c:pt>
                <c:pt idx="234">
                  <c:v>7.0330604508365502</c:v>
                </c:pt>
                <c:pt idx="235">
                  <c:v>7.0647900862199702</c:v>
                </c:pt>
                <c:pt idx="236">
                  <c:v>7.10341335089318</c:v>
                </c:pt>
                <c:pt idx="237">
                  <c:v>7.1346148312942397</c:v>
                </c:pt>
                <c:pt idx="238">
                  <c:v>7.1597043025366096</c:v>
                </c:pt>
                <c:pt idx="239">
                  <c:v>7.1783543281854802</c:v>
                </c:pt>
                <c:pt idx="240">
                  <c:v>7.1988670136202701</c:v>
                </c:pt>
                <c:pt idx="241">
                  <c:v>7.21683406151379</c:v>
                </c:pt>
                <c:pt idx="242">
                  <c:v>7.2342514753084401</c:v>
                </c:pt>
                <c:pt idx="243">
                  <c:v>7.2498808834075703</c:v>
                </c:pt>
                <c:pt idx="244">
                  <c:v>7.2636548363987803</c:v>
                </c:pt>
                <c:pt idx="245">
                  <c:v>7.2741021109106097</c:v>
                </c:pt>
                <c:pt idx="246">
                  <c:v>7.2879822950764597</c:v>
                </c:pt>
                <c:pt idx="247">
                  <c:v>7.3183110096897099</c:v>
                </c:pt>
                <c:pt idx="248">
                  <c:v>7.3558671563048801</c:v>
                </c:pt>
                <c:pt idx="249">
                  <c:v>7.3857087730698501</c:v>
                </c:pt>
                <c:pt idx="250">
                  <c:v>7.4093490177189603</c:v>
                </c:pt>
                <c:pt idx="251">
                  <c:v>7.4262914789434502</c:v>
                </c:pt>
                <c:pt idx="252">
                  <c:v>7.4451793005475499</c:v>
                </c:pt>
                <c:pt idx="253">
                  <c:v>7.4615379861431004</c:v>
                </c:pt>
                <c:pt idx="254">
                  <c:v>7.4772812982099301</c:v>
                </c:pt>
                <c:pt idx="255">
                  <c:v>7.4912762139503597</c:v>
                </c:pt>
                <c:pt idx="256">
                  <c:v>7.5033166200302697</c:v>
                </c:pt>
                <c:pt idx="257">
                  <c:v>7.5119514858455299</c:v>
                </c:pt>
                <c:pt idx="258">
                  <c:v>7.5252118350586796</c:v>
                </c:pt>
                <c:pt idx="259">
                  <c:v>7.5547146833440797</c:v>
                </c:pt>
                <c:pt idx="260">
                  <c:v>7.5910225430057698</c:v>
                </c:pt>
                <c:pt idx="261">
                  <c:v>7.6195191172634198</c:v>
                </c:pt>
                <c:pt idx="262">
                  <c:v>7.6415712424999498</c:v>
                </c:pt>
                <c:pt idx="263">
                  <c:v>7.6570968571879501</c:v>
                </c:pt>
                <c:pt idx="264">
                  <c:v>7.6744744210888101</c:v>
                </c:pt>
                <c:pt idx="265">
                  <c:v>7.6893697137837798</c:v>
                </c:pt>
                <c:pt idx="266">
                  <c:v>7.7035874778070097</c:v>
                </c:pt>
                <c:pt idx="267">
                  <c:v>7.7160710508029204</c:v>
                </c:pt>
                <c:pt idx="268">
                  <c:v>7.7263970429032502</c:v>
                </c:pt>
                <c:pt idx="269">
                  <c:v>7.7335284725858102</c:v>
                </c:pt>
                <c:pt idx="270">
                  <c:v>7.7450976576594401</c:v>
                </c:pt>
                <c:pt idx="271">
                  <c:v>7.7735326456068901</c:v>
                </c:pt>
                <c:pt idx="272">
                  <c:v>7.8090307088937703</c:v>
                </c:pt>
                <c:pt idx="273">
                  <c:v>7.8364740680237102</c:v>
                </c:pt>
                <c:pt idx="274">
                  <c:v>7.8573871918752198</c:v>
                </c:pt>
                <c:pt idx="275">
                  <c:v>7.8715648075336899</c:v>
                </c:pt>
                <c:pt idx="276">
                  <c:v>7.8876575231255197</c:v>
                </c:pt>
                <c:pt idx="277">
                  <c:v>7.9012768592401699</c:v>
                </c:pt>
                <c:pt idx="278">
                  <c:v>7.9141629395344397</c:v>
                </c:pt>
                <c:pt idx="279">
                  <c:v>7.9253423345705496</c:v>
                </c:pt>
                <c:pt idx="280">
                  <c:v>7.93427737314338</c:v>
                </c:pt>
                <c:pt idx="281">
                  <c:v>7.9399544243774498</c:v>
                </c:pt>
                <c:pt idx="282">
                  <c:v>7.9503322329967396</c:v>
                </c:pt>
                <c:pt idx="283">
                  <c:v>7.9778176319694101</c:v>
                </c:pt>
                <c:pt idx="284">
                  <c:v>8.0126028700965595</c:v>
                </c:pt>
                <c:pt idx="285">
                  <c:v>8.0391080245587592</c:v>
                </c:pt>
                <c:pt idx="286">
                  <c:v>8.0590011568545403</c:v>
                </c:pt>
                <c:pt idx="287">
                  <c:v>8.07196511819485</c:v>
                </c:pt>
                <c:pt idx="288">
                  <c:v>8.0869017042597502</c:v>
                </c:pt>
                <c:pt idx="289">
                  <c:v>8.0993710088624802</c:v>
                </c:pt>
                <c:pt idx="290">
                  <c:v>8.1110554713867504</c:v>
                </c:pt>
                <c:pt idx="291">
                  <c:v>8.1210567071002302</c:v>
                </c:pt>
                <c:pt idx="292">
                  <c:v>8.1287331139218804</c:v>
                </c:pt>
                <c:pt idx="293">
                  <c:v>8.13309162673416</c:v>
                </c:pt>
                <c:pt idx="294">
                  <c:v>8.1423913144954394</c:v>
                </c:pt>
                <c:pt idx="295">
                  <c:v>8.1690257547406997</c:v>
                </c:pt>
                <c:pt idx="296">
                  <c:v>8.2031783808434398</c:v>
                </c:pt>
                <c:pt idx="297">
                  <c:v>8.2288414719150502</c:v>
                </c:pt>
                <c:pt idx="298">
                  <c:v>8.2478146430102193</c:v>
                </c:pt>
                <c:pt idx="299">
                  <c:v>8.2596785479382806</c:v>
                </c:pt>
                <c:pt idx="300">
                  <c:v>8.2735678113130504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2-4B3D-81C8-C4D80ADA9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307784"/>
        <c:axId val="441308176"/>
      </c:lineChart>
      <c:catAx>
        <c:axId val="44130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08176"/>
        <c:crosses val="autoZero"/>
        <c:auto val="1"/>
        <c:lblAlgn val="ctr"/>
        <c:lblOffset val="100"/>
        <c:noMultiLvlLbl val="0"/>
      </c:catAx>
      <c:valAx>
        <c:axId val="44130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07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STE_CEA_01!$E$5:$E$6</c:f>
              <c:strCache>
                <c:ptCount val="2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STE_CEA_01!$A$7:$A$310</c:f>
              <c:strCache>
                <c:ptCount val="304"/>
                <c:pt idx="1">
                  <c:v>Year</c:v>
                </c:pt>
                <c:pt idx="3">
                  <c:v>2015</c:v>
                </c:pt>
                <c:pt idx="4">
                  <c:v>2015</c:v>
                </c:pt>
                <c:pt idx="5">
                  <c:v>2015</c:v>
                </c:pt>
                <c:pt idx="6">
                  <c:v>2015</c:v>
                </c:pt>
                <c:pt idx="7">
                  <c:v>2015</c:v>
                </c:pt>
                <c:pt idx="8">
                  <c:v>2015</c:v>
                </c:pt>
                <c:pt idx="9">
                  <c:v>2015</c:v>
                </c:pt>
                <c:pt idx="10">
                  <c:v>2015</c:v>
                </c:pt>
                <c:pt idx="11">
                  <c:v>2015</c:v>
                </c:pt>
                <c:pt idx="12">
                  <c:v>2016</c:v>
                </c:pt>
                <c:pt idx="13">
                  <c:v>2016</c:v>
                </c:pt>
                <c:pt idx="14">
                  <c:v>2016</c:v>
                </c:pt>
                <c:pt idx="15">
                  <c:v>2016</c:v>
                </c:pt>
                <c:pt idx="16">
                  <c:v>2016</c:v>
                </c:pt>
                <c:pt idx="17">
                  <c:v>2016</c:v>
                </c:pt>
                <c:pt idx="18">
                  <c:v>2016</c:v>
                </c:pt>
                <c:pt idx="19">
                  <c:v>2016</c:v>
                </c:pt>
                <c:pt idx="20">
                  <c:v>2016</c:v>
                </c:pt>
                <c:pt idx="21">
                  <c:v>2016</c:v>
                </c:pt>
                <c:pt idx="22">
                  <c:v>2016</c:v>
                </c:pt>
                <c:pt idx="23">
                  <c:v>2016</c:v>
                </c:pt>
                <c:pt idx="24">
                  <c:v>2017</c:v>
                </c:pt>
                <c:pt idx="25">
                  <c:v>2017</c:v>
                </c:pt>
                <c:pt idx="26">
                  <c:v>2017</c:v>
                </c:pt>
                <c:pt idx="27">
                  <c:v>2017</c:v>
                </c:pt>
                <c:pt idx="28">
                  <c:v>2017</c:v>
                </c:pt>
                <c:pt idx="29">
                  <c:v>2017</c:v>
                </c:pt>
                <c:pt idx="30">
                  <c:v>2017</c:v>
                </c:pt>
                <c:pt idx="31">
                  <c:v>2017</c:v>
                </c:pt>
                <c:pt idx="32">
                  <c:v>2017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2018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2018</c:v>
                </c:pt>
                <c:pt idx="42">
                  <c:v>2018</c:v>
                </c:pt>
                <c:pt idx="43">
                  <c:v>2018</c:v>
                </c:pt>
                <c:pt idx="44">
                  <c:v>2018</c:v>
                </c:pt>
                <c:pt idx="45">
                  <c:v>2018</c:v>
                </c:pt>
                <c:pt idx="46">
                  <c:v>2018</c:v>
                </c:pt>
                <c:pt idx="47">
                  <c:v>2018</c:v>
                </c:pt>
                <c:pt idx="48">
                  <c:v>2019</c:v>
                </c:pt>
                <c:pt idx="49">
                  <c:v>2019</c:v>
                </c:pt>
                <c:pt idx="50">
                  <c:v>2019</c:v>
                </c:pt>
                <c:pt idx="51">
                  <c:v>2019</c:v>
                </c:pt>
                <c:pt idx="52">
                  <c:v>2019</c:v>
                </c:pt>
                <c:pt idx="53">
                  <c:v>2019</c:v>
                </c:pt>
                <c:pt idx="54">
                  <c:v>2019</c:v>
                </c:pt>
                <c:pt idx="55">
                  <c:v>2019</c:v>
                </c:pt>
                <c:pt idx="56">
                  <c:v>2019</c:v>
                </c:pt>
                <c:pt idx="57">
                  <c:v>2019</c:v>
                </c:pt>
                <c:pt idx="58">
                  <c:v>2019</c:v>
                </c:pt>
                <c:pt idx="59">
                  <c:v>2019</c:v>
                </c:pt>
                <c:pt idx="60">
                  <c:v>2020</c:v>
                </c:pt>
                <c:pt idx="61">
                  <c:v>2020</c:v>
                </c:pt>
                <c:pt idx="62">
                  <c:v>2020</c:v>
                </c:pt>
                <c:pt idx="63">
                  <c:v>2020</c:v>
                </c:pt>
                <c:pt idx="64">
                  <c:v>2020</c:v>
                </c:pt>
                <c:pt idx="65">
                  <c:v>2020</c:v>
                </c:pt>
                <c:pt idx="66">
                  <c:v>2020</c:v>
                </c:pt>
                <c:pt idx="67">
                  <c:v>2020</c:v>
                </c:pt>
                <c:pt idx="68">
                  <c:v>2020</c:v>
                </c:pt>
                <c:pt idx="69">
                  <c:v>2020</c:v>
                </c:pt>
                <c:pt idx="70">
                  <c:v>2020</c:v>
                </c:pt>
                <c:pt idx="71">
                  <c:v>2020</c:v>
                </c:pt>
                <c:pt idx="72">
                  <c:v>2021</c:v>
                </c:pt>
                <c:pt idx="73">
                  <c:v>2021</c:v>
                </c:pt>
                <c:pt idx="74">
                  <c:v>2021</c:v>
                </c:pt>
                <c:pt idx="75">
                  <c:v>2021</c:v>
                </c:pt>
                <c:pt idx="76">
                  <c:v>2021</c:v>
                </c:pt>
                <c:pt idx="77">
                  <c:v>2021</c:v>
                </c:pt>
                <c:pt idx="78">
                  <c:v>2021</c:v>
                </c:pt>
                <c:pt idx="79">
                  <c:v>2021</c:v>
                </c:pt>
                <c:pt idx="80">
                  <c:v>2021</c:v>
                </c:pt>
                <c:pt idx="81">
                  <c:v>2021</c:v>
                </c:pt>
                <c:pt idx="82">
                  <c:v>2021</c:v>
                </c:pt>
                <c:pt idx="83">
                  <c:v>2021</c:v>
                </c:pt>
                <c:pt idx="84">
                  <c:v>2022</c:v>
                </c:pt>
                <c:pt idx="85">
                  <c:v>2022</c:v>
                </c:pt>
                <c:pt idx="86">
                  <c:v>2022</c:v>
                </c:pt>
                <c:pt idx="87">
                  <c:v>2022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2022</c:v>
                </c:pt>
                <c:pt idx="92">
                  <c:v>2022</c:v>
                </c:pt>
                <c:pt idx="93">
                  <c:v>2022</c:v>
                </c:pt>
                <c:pt idx="94">
                  <c:v>2022</c:v>
                </c:pt>
                <c:pt idx="95">
                  <c:v>2022</c:v>
                </c:pt>
                <c:pt idx="96">
                  <c:v>2023</c:v>
                </c:pt>
                <c:pt idx="97">
                  <c:v>2023</c:v>
                </c:pt>
                <c:pt idx="98">
                  <c:v>2023</c:v>
                </c:pt>
                <c:pt idx="99">
                  <c:v>2023</c:v>
                </c:pt>
                <c:pt idx="100">
                  <c:v>2023</c:v>
                </c:pt>
                <c:pt idx="101">
                  <c:v>2023</c:v>
                </c:pt>
                <c:pt idx="102">
                  <c:v>2023</c:v>
                </c:pt>
                <c:pt idx="103">
                  <c:v>2023</c:v>
                </c:pt>
                <c:pt idx="104">
                  <c:v>2023</c:v>
                </c:pt>
                <c:pt idx="105">
                  <c:v>2023</c:v>
                </c:pt>
                <c:pt idx="106">
                  <c:v>2023</c:v>
                </c:pt>
                <c:pt idx="107">
                  <c:v>2023</c:v>
                </c:pt>
                <c:pt idx="108">
                  <c:v>2024</c:v>
                </c:pt>
                <c:pt idx="109">
                  <c:v>2024</c:v>
                </c:pt>
                <c:pt idx="110">
                  <c:v>2024</c:v>
                </c:pt>
                <c:pt idx="111">
                  <c:v>2024</c:v>
                </c:pt>
                <c:pt idx="112">
                  <c:v>2024</c:v>
                </c:pt>
                <c:pt idx="113">
                  <c:v>2024</c:v>
                </c:pt>
                <c:pt idx="114">
                  <c:v>2024</c:v>
                </c:pt>
                <c:pt idx="115">
                  <c:v>2024</c:v>
                </c:pt>
                <c:pt idx="116">
                  <c:v>2024</c:v>
                </c:pt>
                <c:pt idx="117">
                  <c:v>2024</c:v>
                </c:pt>
                <c:pt idx="118">
                  <c:v>2024</c:v>
                </c:pt>
                <c:pt idx="119">
                  <c:v>2024</c:v>
                </c:pt>
                <c:pt idx="120">
                  <c:v>2025</c:v>
                </c:pt>
                <c:pt idx="121">
                  <c:v>2025</c:v>
                </c:pt>
                <c:pt idx="122">
                  <c:v>2025</c:v>
                </c:pt>
                <c:pt idx="123">
                  <c:v>2025</c:v>
                </c:pt>
                <c:pt idx="124">
                  <c:v>2025</c:v>
                </c:pt>
                <c:pt idx="125">
                  <c:v>2025</c:v>
                </c:pt>
                <c:pt idx="126">
                  <c:v>2025</c:v>
                </c:pt>
                <c:pt idx="127">
                  <c:v>2025</c:v>
                </c:pt>
                <c:pt idx="128">
                  <c:v>2025</c:v>
                </c:pt>
                <c:pt idx="129">
                  <c:v>2025</c:v>
                </c:pt>
                <c:pt idx="130">
                  <c:v>2025</c:v>
                </c:pt>
                <c:pt idx="131">
                  <c:v>2025</c:v>
                </c:pt>
                <c:pt idx="132">
                  <c:v>2026</c:v>
                </c:pt>
                <c:pt idx="133">
                  <c:v>2026</c:v>
                </c:pt>
                <c:pt idx="134">
                  <c:v>2026</c:v>
                </c:pt>
                <c:pt idx="135">
                  <c:v>2026</c:v>
                </c:pt>
                <c:pt idx="136">
                  <c:v>2026</c:v>
                </c:pt>
                <c:pt idx="137">
                  <c:v>2026</c:v>
                </c:pt>
                <c:pt idx="138">
                  <c:v>2026</c:v>
                </c:pt>
                <c:pt idx="139">
                  <c:v>2026</c:v>
                </c:pt>
                <c:pt idx="140">
                  <c:v>2026</c:v>
                </c:pt>
                <c:pt idx="141">
                  <c:v>2026</c:v>
                </c:pt>
                <c:pt idx="142">
                  <c:v>2026</c:v>
                </c:pt>
                <c:pt idx="143">
                  <c:v>2026</c:v>
                </c:pt>
                <c:pt idx="144">
                  <c:v>2027</c:v>
                </c:pt>
                <c:pt idx="145">
                  <c:v>2027</c:v>
                </c:pt>
                <c:pt idx="146">
                  <c:v>2027</c:v>
                </c:pt>
                <c:pt idx="147">
                  <c:v>2027</c:v>
                </c:pt>
                <c:pt idx="148">
                  <c:v>2027</c:v>
                </c:pt>
                <c:pt idx="149">
                  <c:v>2027</c:v>
                </c:pt>
                <c:pt idx="150">
                  <c:v>2027</c:v>
                </c:pt>
                <c:pt idx="151">
                  <c:v>2027</c:v>
                </c:pt>
                <c:pt idx="152">
                  <c:v>2027</c:v>
                </c:pt>
                <c:pt idx="153">
                  <c:v>2027</c:v>
                </c:pt>
                <c:pt idx="154">
                  <c:v>2027</c:v>
                </c:pt>
                <c:pt idx="155">
                  <c:v>2027</c:v>
                </c:pt>
                <c:pt idx="156">
                  <c:v>2028</c:v>
                </c:pt>
                <c:pt idx="157">
                  <c:v>2028</c:v>
                </c:pt>
                <c:pt idx="158">
                  <c:v>2028</c:v>
                </c:pt>
                <c:pt idx="159">
                  <c:v>2028</c:v>
                </c:pt>
                <c:pt idx="160">
                  <c:v>2028</c:v>
                </c:pt>
                <c:pt idx="161">
                  <c:v>2028</c:v>
                </c:pt>
                <c:pt idx="162">
                  <c:v>2028</c:v>
                </c:pt>
                <c:pt idx="163">
                  <c:v>2028</c:v>
                </c:pt>
                <c:pt idx="164">
                  <c:v>2028</c:v>
                </c:pt>
                <c:pt idx="165">
                  <c:v>2028</c:v>
                </c:pt>
                <c:pt idx="166">
                  <c:v>2028</c:v>
                </c:pt>
                <c:pt idx="167">
                  <c:v>2028</c:v>
                </c:pt>
                <c:pt idx="168">
                  <c:v>2029</c:v>
                </c:pt>
                <c:pt idx="169">
                  <c:v>2029</c:v>
                </c:pt>
                <c:pt idx="170">
                  <c:v>2029</c:v>
                </c:pt>
                <c:pt idx="171">
                  <c:v>2029</c:v>
                </c:pt>
                <c:pt idx="172">
                  <c:v>2029</c:v>
                </c:pt>
                <c:pt idx="173">
                  <c:v>2029</c:v>
                </c:pt>
                <c:pt idx="174">
                  <c:v>2029</c:v>
                </c:pt>
                <c:pt idx="175">
                  <c:v>2029</c:v>
                </c:pt>
                <c:pt idx="176">
                  <c:v>2029</c:v>
                </c:pt>
                <c:pt idx="177">
                  <c:v>2029</c:v>
                </c:pt>
                <c:pt idx="178">
                  <c:v>2029</c:v>
                </c:pt>
                <c:pt idx="179">
                  <c:v>2029</c:v>
                </c:pt>
                <c:pt idx="180">
                  <c:v>2030</c:v>
                </c:pt>
                <c:pt idx="181">
                  <c:v>2030</c:v>
                </c:pt>
                <c:pt idx="182">
                  <c:v>2030</c:v>
                </c:pt>
                <c:pt idx="183">
                  <c:v>2030</c:v>
                </c:pt>
                <c:pt idx="184">
                  <c:v>2030</c:v>
                </c:pt>
                <c:pt idx="185">
                  <c:v>2030</c:v>
                </c:pt>
                <c:pt idx="186">
                  <c:v>2030</c:v>
                </c:pt>
                <c:pt idx="187">
                  <c:v>2030</c:v>
                </c:pt>
                <c:pt idx="188">
                  <c:v>2030</c:v>
                </c:pt>
                <c:pt idx="189">
                  <c:v>2030</c:v>
                </c:pt>
                <c:pt idx="190">
                  <c:v>2030</c:v>
                </c:pt>
                <c:pt idx="191">
                  <c:v>2030</c:v>
                </c:pt>
                <c:pt idx="192">
                  <c:v>2031</c:v>
                </c:pt>
                <c:pt idx="193">
                  <c:v>2031</c:v>
                </c:pt>
                <c:pt idx="194">
                  <c:v>2031</c:v>
                </c:pt>
                <c:pt idx="195">
                  <c:v>2031</c:v>
                </c:pt>
                <c:pt idx="196">
                  <c:v>2031</c:v>
                </c:pt>
                <c:pt idx="197">
                  <c:v>2031</c:v>
                </c:pt>
                <c:pt idx="198">
                  <c:v>2031</c:v>
                </c:pt>
                <c:pt idx="199">
                  <c:v>2031</c:v>
                </c:pt>
                <c:pt idx="200">
                  <c:v>2031</c:v>
                </c:pt>
                <c:pt idx="201">
                  <c:v>2031</c:v>
                </c:pt>
                <c:pt idx="202">
                  <c:v>2031</c:v>
                </c:pt>
                <c:pt idx="203">
                  <c:v>2031</c:v>
                </c:pt>
                <c:pt idx="204">
                  <c:v>2032</c:v>
                </c:pt>
                <c:pt idx="205">
                  <c:v>2032</c:v>
                </c:pt>
                <c:pt idx="206">
                  <c:v>2032</c:v>
                </c:pt>
                <c:pt idx="207">
                  <c:v>2032</c:v>
                </c:pt>
                <c:pt idx="208">
                  <c:v>2032</c:v>
                </c:pt>
                <c:pt idx="209">
                  <c:v>2032</c:v>
                </c:pt>
                <c:pt idx="210">
                  <c:v>2032</c:v>
                </c:pt>
                <c:pt idx="211">
                  <c:v>2032</c:v>
                </c:pt>
                <c:pt idx="212">
                  <c:v>2032</c:v>
                </c:pt>
                <c:pt idx="213">
                  <c:v>2032</c:v>
                </c:pt>
                <c:pt idx="214">
                  <c:v>2032</c:v>
                </c:pt>
                <c:pt idx="215">
                  <c:v>2032</c:v>
                </c:pt>
                <c:pt idx="216">
                  <c:v>2033</c:v>
                </c:pt>
                <c:pt idx="217">
                  <c:v>2033</c:v>
                </c:pt>
                <c:pt idx="218">
                  <c:v>2033</c:v>
                </c:pt>
                <c:pt idx="219">
                  <c:v>2033</c:v>
                </c:pt>
                <c:pt idx="220">
                  <c:v>2033</c:v>
                </c:pt>
                <c:pt idx="221">
                  <c:v>2033</c:v>
                </c:pt>
                <c:pt idx="222">
                  <c:v>2033</c:v>
                </c:pt>
                <c:pt idx="223">
                  <c:v>2033</c:v>
                </c:pt>
                <c:pt idx="224">
                  <c:v>2033</c:v>
                </c:pt>
                <c:pt idx="225">
                  <c:v>2033</c:v>
                </c:pt>
                <c:pt idx="226">
                  <c:v>2033</c:v>
                </c:pt>
                <c:pt idx="227">
                  <c:v>2033</c:v>
                </c:pt>
                <c:pt idx="228">
                  <c:v>2034</c:v>
                </c:pt>
                <c:pt idx="229">
                  <c:v>2034</c:v>
                </c:pt>
                <c:pt idx="230">
                  <c:v>2034</c:v>
                </c:pt>
                <c:pt idx="231">
                  <c:v>2034</c:v>
                </c:pt>
                <c:pt idx="232">
                  <c:v>2034</c:v>
                </c:pt>
                <c:pt idx="233">
                  <c:v>2034</c:v>
                </c:pt>
                <c:pt idx="234">
                  <c:v>2034</c:v>
                </c:pt>
                <c:pt idx="235">
                  <c:v>2034</c:v>
                </c:pt>
                <c:pt idx="236">
                  <c:v>2034</c:v>
                </c:pt>
                <c:pt idx="237">
                  <c:v>2034</c:v>
                </c:pt>
                <c:pt idx="238">
                  <c:v>2034</c:v>
                </c:pt>
                <c:pt idx="239">
                  <c:v>2034</c:v>
                </c:pt>
                <c:pt idx="240">
                  <c:v>2035</c:v>
                </c:pt>
                <c:pt idx="241">
                  <c:v>2035</c:v>
                </c:pt>
                <c:pt idx="242">
                  <c:v>2035</c:v>
                </c:pt>
                <c:pt idx="243">
                  <c:v>2035</c:v>
                </c:pt>
                <c:pt idx="244">
                  <c:v>2035</c:v>
                </c:pt>
                <c:pt idx="245">
                  <c:v>2035</c:v>
                </c:pt>
                <c:pt idx="246">
                  <c:v>2035</c:v>
                </c:pt>
                <c:pt idx="247">
                  <c:v>2035</c:v>
                </c:pt>
                <c:pt idx="248">
                  <c:v>2035</c:v>
                </c:pt>
                <c:pt idx="249">
                  <c:v>2035</c:v>
                </c:pt>
                <c:pt idx="250">
                  <c:v>2035</c:v>
                </c:pt>
                <c:pt idx="251">
                  <c:v>2035</c:v>
                </c:pt>
                <c:pt idx="252">
                  <c:v>2036</c:v>
                </c:pt>
                <c:pt idx="253">
                  <c:v>2036</c:v>
                </c:pt>
                <c:pt idx="254">
                  <c:v>2036</c:v>
                </c:pt>
                <c:pt idx="255">
                  <c:v>2036</c:v>
                </c:pt>
                <c:pt idx="256">
                  <c:v>2036</c:v>
                </c:pt>
                <c:pt idx="257">
                  <c:v>2036</c:v>
                </c:pt>
                <c:pt idx="258">
                  <c:v>2036</c:v>
                </c:pt>
                <c:pt idx="259">
                  <c:v>2036</c:v>
                </c:pt>
                <c:pt idx="260">
                  <c:v>2036</c:v>
                </c:pt>
                <c:pt idx="261">
                  <c:v>2036</c:v>
                </c:pt>
                <c:pt idx="262">
                  <c:v>2036</c:v>
                </c:pt>
                <c:pt idx="263">
                  <c:v>2036</c:v>
                </c:pt>
                <c:pt idx="264">
                  <c:v>2037</c:v>
                </c:pt>
                <c:pt idx="265">
                  <c:v>2037</c:v>
                </c:pt>
                <c:pt idx="266">
                  <c:v>2037</c:v>
                </c:pt>
                <c:pt idx="267">
                  <c:v>2037</c:v>
                </c:pt>
                <c:pt idx="268">
                  <c:v>2037</c:v>
                </c:pt>
                <c:pt idx="269">
                  <c:v>2037</c:v>
                </c:pt>
                <c:pt idx="270">
                  <c:v>2037</c:v>
                </c:pt>
                <c:pt idx="271">
                  <c:v>2037</c:v>
                </c:pt>
                <c:pt idx="272">
                  <c:v>2037</c:v>
                </c:pt>
                <c:pt idx="273">
                  <c:v>2037</c:v>
                </c:pt>
                <c:pt idx="274">
                  <c:v>2037</c:v>
                </c:pt>
                <c:pt idx="275">
                  <c:v>2037</c:v>
                </c:pt>
                <c:pt idx="276">
                  <c:v>2038</c:v>
                </c:pt>
                <c:pt idx="277">
                  <c:v>2038</c:v>
                </c:pt>
                <c:pt idx="278">
                  <c:v>2038</c:v>
                </c:pt>
                <c:pt idx="279">
                  <c:v>2038</c:v>
                </c:pt>
                <c:pt idx="280">
                  <c:v>2038</c:v>
                </c:pt>
                <c:pt idx="281">
                  <c:v>2038</c:v>
                </c:pt>
                <c:pt idx="282">
                  <c:v>2038</c:v>
                </c:pt>
                <c:pt idx="283">
                  <c:v>2038</c:v>
                </c:pt>
                <c:pt idx="284">
                  <c:v>2038</c:v>
                </c:pt>
                <c:pt idx="285">
                  <c:v>2038</c:v>
                </c:pt>
                <c:pt idx="286">
                  <c:v>2038</c:v>
                </c:pt>
                <c:pt idx="287">
                  <c:v>2038</c:v>
                </c:pt>
                <c:pt idx="288">
                  <c:v>2039</c:v>
                </c:pt>
                <c:pt idx="289">
                  <c:v>2039</c:v>
                </c:pt>
                <c:pt idx="290">
                  <c:v>2039</c:v>
                </c:pt>
                <c:pt idx="291">
                  <c:v>2039</c:v>
                </c:pt>
                <c:pt idx="292">
                  <c:v>2039</c:v>
                </c:pt>
                <c:pt idx="293">
                  <c:v>2039</c:v>
                </c:pt>
                <c:pt idx="294">
                  <c:v>2039</c:v>
                </c:pt>
                <c:pt idx="295">
                  <c:v>2039</c:v>
                </c:pt>
                <c:pt idx="296">
                  <c:v>2039</c:v>
                </c:pt>
                <c:pt idx="297">
                  <c:v>2039</c:v>
                </c:pt>
                <c:pt idx="298">
                  <c:v>2039</c:v>
                </c:pt>
                <c:pt idx="299">
                  <c:v>2039</c:v>
                </c:pt>
                <c:pt idx="300">
                  <c:v>2040</c:v>
                </c:pt>
                <c:pt idx="301">
                  <c:v>2040</c:v>
                </c:pt>
                <c:pt idx="302">
                  <c:v>2040</c:v>
                </c:pt>
                <c:pt idx="303">
                  <c:v>2040</c:v>
                </c:pt>
              </c:strCache>
            </c:strRef>
          </c:cat>
          <c:val>
            <c:numRef>
              <c:f>STE_CEA_01!$E$7:$E$308</c:f>
              <c:numCache>
                <c:formatCode>General</c:formatCode>
                <c:ptCount val="30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0.29370000000000002</c:v>
                </c:pt>
                <c:pt idx="5">
                  <c:v>0.29370000000000002</c:v>
                </c:pt>
                <c:pt idx="6">
                  <c:v>0.29370319786529298</c:v>
                </c:pt>
                <c:pt idx="7">
                  <c:v>0.29394578338730498</c:v>
                </c:pt>
                <c:pt idx="8">
                  <c:v>0.296829373399706</c:v>
                </c:pt>
                <c:pt idx="9">
                  <c:v>0.31139490140943299</c:v>
                </c:pt>
                <c:pt idx="10">
                  <c:v>0.36570045487703801</c:v>
                </c:pt>
                <c:pt idx="11">
                  <c:v>0.50723934054616304</c:v>
                </c:pt>
                <c:pt idx="12">
                  <c:v>0.76158436131841001</c:v>
                </c:pt>
                <c:pt idx="13">
                  <c:v>1.12955803728202</c:v>
                </c:pt>
                <c:pt idx="14">
                  <c:v>1.6698729318171801</c:v>
                </c:pt>
                <c:pt idx="15">
                  <c:v>2.4733446907476999</c:v>
                </c:pt>
                <c:pt idx="16">
                  <c:v>3.3484426183872298</c:v>
                </c:pt>
                <c:pt idx="17">
                  <c:v>4.4675725471721499</c:v>
                </c:pt>
                <c:pt idx="18">
                  <c:v>5.5535056994654903</c:v>
                </c:pt>
                <c:pt idx="19">
                  <c:v>6.4750943461636696</c:v>
                </c:pt>
                <c:pt idx="20">
                  <c:v>7.4131453736265396</c:v>
                </c:pt>
                <c:pt idx="21">
                  <c:v>8.42091100535038</c:v>
                </c:pt>
                <c:pt idx="22">
                  <c:v>9.1667681625383004</c:v>
                </c:pt>
                <c:pt idx="23">
                  <c:v>9.9533316413258799</c:v>
                </c:pt>
                <c:pt idx="24">
                  <c:v>10.753407875164999</c:v>
                </c:pt>
                <c:pt idx="25">
                  <c:v>11.485658147686699</c:v>
                </c:pt>
                <c:pt idx="26">
                  <c:v>12.2984064073485</c:v>
                </c:pt>
                <c:pt idx="27">
                  <c:v>12.8329116825409</c:v>
                </c:pt>
                <c:pt idx="28">
                  <c:v>13.3809424883178</c:v>
                </c:pt>
                <c:pt idx="29">
                  <c:v>13.657970855458601</c:v>
                </c:pt>
                <c:pt idx="30">
                  <c:v>13.933231125777001</c:v>
                </c:pt>
                <c:pt idx="31">
                  <c:v>14.4803991535507</c:v>
                </c:pt>
                <c:pt idx="32">
                  <c:v>15.013628400231299</c:v>
                </c:pt>
                <c:pt idx="33">
                  <c:v>15.5633658443962</c:v>
                </c:pt>
                <c:pt idx="34">
                  <c:v>16.0956439208652</c:v>
                </c:pt>
                <c:pt idx="35">
                  <c:v>16.645589581422598</c:v>
                </c:pt>
                <c:pt idx="36">
                  <c:v>17.1951201974451</c:v>
                </c:pt>
                <c:pt idx="37">
                  <c:v>17.690848507110399</c:v>
                </c:pt>
                <c:pt idx="38">
                  <c:v>18.237540128445001</c:v>
                </c:pt>
                <c:pt idx="39">
                  <c:v>18.763795320674198</c:v>
                </c:pt>
                <c:pt idx="40">
                  <c:v>19.306098917543</c:v>
                </c:pt>
                <c:pt idx="41">
                  <c:v>19.829244928593099</c:v>
                </c:pt>
                <c:pt idx="42">
                  <c:v>20.6321010220584</c:v>
                </c:pt>
                <c:pt idx="43">
                  <c:v>21.173926174660799</c:v>
                </c:pt>
                <c:pt idx="44">
                  <c:v>21.687589712595202</c:v>
                </c:pt>
                <c:pt idx="45">
                  <c:v>22.215764920002101</c:v>
                </c:pt>
                <c:pt idx="46">
                  <c:v>22.724310889061499</c:v>
                </c:pt>
                <c:pt idx="47">
                  <c:v>23.2469995082702</c:v>
                </c:pt>
                <c:pt idx="48">
                  <c:v>23.766711685239802</c:v>
                </c:pt>
                <c:pt idx="49">
                  <c:v>24.233477731921798</c:v>
                </c:pt>
                <c:pt idx="50">
                  <c:v>24.742899082885</c:v>
                </c:pt>
                <c:pt idx="51">
                  <c:v>25.232511347996901</c:v>
                </c:pt>
                <c:pt idx="52">
                  <c:v>25.7351745484068</c:v>
                </c:pt>
                <c:pt idx="53">
                  <c:v>26.218390011738201</c:v>
                </c:pt>
                <c:pt idx="54">
                  <c:v>26.472784063779901</c:v>
                </c:pt>
                <c:pt idx="55">
                  <c:v>26.962936333870299</c:v>
                </c:pt>
                <c:pt idx="56">
                  <c:v>27.437206928362102</c:v>
                </c:pt>
                <c:pt idx="57">
                  <c:v>27.923090957295901</c:v>
                </c:pt>
                <c:pt idx="58">
                  <c:v>28.389850422517299</c:v>
                </c:pt>
                <c:pt idx="59">
                  <c:v>28.868567376513301</c:v>
                </c:pt>
                <c:pt idx="60">
                  <c:v>29.34359367791</c:v>
                </c:pt>
                <c:pt idx="61">
                  <c:v>29.784609078503699</c:v>
                </c:pt>
                <c:pt idx="62">
                  <c:v>30.2519650182034</c:v>
                </c:pt>
                <c:pt idx="63">
                  <c:v>30.700138813152101</c:v>
                </c:pt>
                <c:pt idx="64">
                  <c:v>31.159554928388999</c:v>
                </c:pt>
                <c:pt idx="65">
                  <c:v>31.600565181273499</c:v>
                </c:pt>
                <c:pt idx="66">
                  <c:v>32.268111839445403</c:v>
                </c:pt>
                <c:pt idx="67">
                  <c:v>32.714526560731699</c:v>
                </c:pt>
                <c:pt idx="68">
                  <c:v>33.142174483870697</c:v>
                </c:pt>
                <c:pt idx="69">
                  <c:v>33.580349975846403</c:v>
                </c:pt>
                <c:pt idx="70">
                  <c:v>34.000817204339597</c:v>
                </c:pt>
                <c:pt idx="71">
                  <c:v>34.431616564614899</c:v>
                </c:pt>
                <c:pt idx="72">
                  <c:v>34.8586835969638</c:v>
                </c:pt>
                <c:pt idx="73">
                  <c:v>35.241224805543197</c:v>
                </c:pt>
                <c:pt idx="74">
                  <c:v>35.6605880143101</c:v>
                </c:pt>
                <c:pt idx="75">
                  <c:v>36.062874575203701</c:v>
                </c:pt>
                <c:pt idx="76">
                  <c:v>36.474965791365598</c:v>
                </c:pt>
                <c:pt idx="77">
                  <c:v>36.870293571628899</c:v>
                </c:pt>
                <c:pt idx="78">
                  <c:v>37.081378587790802</c:v>
                </c:pt>
                <c:pt idx="79">
                  <c:v>37.283360600337403</c:v>
                </c:pt>
                <c:pt idx="80">
                  <c:v>37.668515774729798</c:v>
                </c:pt>
                <c:pt idx="81">
                  <c:v>38.065815730140898</c:v>
                </c:pt>
                <c:pt idx="82">
                  <c:v>38.4468839465234</c:v>
                </c:pt>
                <c:pt idx="83">
                  <c:v>38.837186238780703</c:v>
                </c:pt>
                <c:pt idx="84">
                  <c:v>39.223989096747303</c:v>
                </c:pt>
                <c:pt idx="85">
                  <c:v>39.570373704768897</c:v>
                </c:pt>
                <c:pt idx="86">
                  <c:v>39.950590412262102</c:v>
                </c:pt>
                <c:pt idx="87">
                  <c:v>40.314854680732203</c:v>
                </c:pt>
                <c:pt idx="88">
                  <c:v>40.687895366876397</c:v>
                </c:pt>
                <c:pt idx="89">
                  <c:v>41.045702945288902</c:v>
                </c:pt>
                <c:pt idx="90">
                  <c:v>41.4121595707811</c:v>
                </c:pt>
                <c:pt idx="91">
                  <c:v>41.952759258272302</c:v>
                </c:pt>
                <c:pt idx="92">
                  <c:v>42.303668211640101</c:v>
                </c:pt>
                <c:pt idx="93">
                  <c:v>42.6583871080405</c:v>
                </c:pt>
                <c:pt idx="94">
                  <c:v>42.998621378493802</c:v>
                </c:pt>
                <c:pt idx="95">
                  <c:v>43.347082876030001</c:v>
                </c:pt>
                <c:pt idx="96">
                  <c:v>43.692409573771897</c:v>
                </c:pt>
                <c:pt idx="97">
                  <c:v>44.001648557926202</c:v>
                </c:pt>
                <c:pt idx="98">
                  <c:v>44.340949977967703</c:v>
                </c:pt>
                <c:pt idx="99">
                  <c:v>44.666215459373703</c:v>
                </c:pt>
                <c:pt idx="100">
                  <c:v>44.9993587988344</c:v>
                </c:pt>
                <c:pt idx="101">
                  <c:v>45.318915359122798</c:v>
                </c:pt>
                <c:pt idx="102">
                  <c:v>45.646218614894998</c:v>
                </c:pt>
                <c:pt idx="103">
                  <c:v>45.971901284299499</c:v>
                </c:pt>
                <c:pt idx="104">
                  <c:v>46.282920410709401</c:v>
                </c:pt>
                <c:pt idx="105">
                  <c:v>46.601336262413703</c:v>
                </c:pt>
                <c:pt idx="106">
                  <c:v>46.906785550250397</c:v>
                </c:pt>
                <c:pt idx="107">
                  <c:v>47.219660709466098</c:v>
                </c:pt>
                <c:pt idx="108">
                  <c:v>47.529764393532297</c:v>
                </c:pt>
                <c:pt idx="109">
                  <c:v>47.817378597610599</c:v>
                </c:pt>
                <c:pt idx="110">
                  <c:v>48.122088604930902</c:v>
                </c:pt>
                <c:pt idx="111">
                  <c:v>48.414280557580597</c:v>
                </c:pt>
                <c:pt idx="112">
                  <c:v>48.713600648807798</c:v>
                </c:pt>
                <c:pt idx="113">
                  <c:v>49.000764765930803</c:v>
                </c:pt>
                <c:pt idx="114">
                  <c:v>49.2937640031558</c:v>
                </c:pt>
                <c:pt idx="115">
                  <c:v>49.580701457830699</c:v>
                </c:pt>
                <c:pt idx="116">
                  <c:v>49.860436104274598</c:v>
                </c:pt>
                <c:pt idx="117">
                  <c:v>50.146906448391398</c:v>
                </c:pt>
                <c:pt idx="118">
                  <c:v>50.421768891674802</c:v>
                </c:pt>
                <c:pt idx="119">
                  <c:v>50.703374286559601</c:v>
                </c:pt>
                <c:pt idx="120">
                  <c:v>50.982547772176503</c:v>
                </c:pt>
                <c:pt idx="121">
                  <c:v>51.232636584426899</c:v>
                </c:pt>
                <c:pt idx="122">
                  <c:v>51.507176650107802</c:v>
                </c:pt>
                <c:pt idx="123">
                  <c:v>51.770513635820201</c:v>
                </c:pt>
                <c:pt idx="124">
                  <c:v>52.0403387662382</c:v>
                </c:pt>
                <c:pt idx="125">
                  <c:v>52.299268076072899</c:v>
                </c:pt>
                <c:pt idx="126">
                  <c:v>52.564588447095801</c:v>
                </c:pt>
                <c:pt idx="127">
                  <c:v>52.701706053011499</c:v>
                </c:pt>
                <c:pt idx="128">
                  <c:v>52.828713491603501</c:v>
                </c:pt>
                <c:pt idx="129">
                  <c:v>52.959406929063398</c:v>
                </c:pt>
                <c:pt idx="130">
                  <c:v>53.085283137659303</c:v>
                </c:pt>
                <c:pt idx="131">
                  <c:v>53.214808487768998</c:v>
                </c:pt>
                <c:pt idx="132">
                  <c:v>53.3437867678903</c:v>
                </c:pt>
                <c:pt idx="133">
                  <c:v>53.459815603393999</c:v>
                </c:pt>
                <c:pt idx="134">
                  <c:v>53.587761116101902</c:v>
                </c:pt>
                <c:pt idx="135">
                  <c:v>53.711066844256997</c:v>
                </c:pt>
                <c:pt idx="136">
                  <c:v>53.837956096926703</c:v>
                </c:pt>
                <c:pt idx="137">
                  <c:v>53.960245257136897</c:v>
                </c:pt>
                <c:pt idx="138">
                  <c:v>54.086089830280898</c:v>
                </c:pt>
                <c:pt idx="139">
                  <c:v>54.211407897347698</c:v>
                </c:pt>
                <c:pt idx="140">
                  <c:v>54.332184912044603</c:v>
                </c:pt>
                <c:pt idx="141">
                  <c:v>54.456475521204702</c:v>
                </c:pt>
                <c:pt idx="142">
                  <c:v>54.576198596407103</c:v>
                </c:pt>
                <c:pt idx="143">
                  <c:v>54.699401228463799</c:v>
                </c:pt>
                <c:pt idx="144">
                  <c:v>54.822092001959597</c:v>
                </c:pt>
                <c:pt idx="145">
                  <c:v>54.932471897216701</c:v>
                </c:pt>
                <c:pt idx="146">
                  <c:v>55.0541963642167</c:v>
                </c:pt>
                <c:pt idx="147">
                  <c:v>55.171514699368302</c:v>
                </c:pt>
                <c:pt idx="148">
                  <c:v>55.292250857621802</c:v>
                </c:pt>
                <c:pt idx="149">
                  <c:v>55.408618009894901</c:v>
                </c:pt>
                <c:pt idx="150">
                  <c:v>55.528376667162803</c:v>
                </c:pt>
                <c:pt idx="151">
                  <c:v>55.647642663065902</c:v>
                </c:pt>
                <c:pt idx="152">
                  <c:v>55.762594872526101</c:v>
                </c:pt>
                <c:pt idx="153">
                  <c:v>55.880899429397999</c:v>
                </c:pt>
                <c:pt idx="154">
                  <c:v>55.994871094801397</c:v>
                </c:pt>
                <c:pt idx="155">
                  <c:v>56.1121615570448</c:v>
                </c:pt>
                <c:pt idx="156">
                  <c:v>56.228972990837903</c:v>
                </c:pt>
                <c:pt idx="157">
                  <c:v>56.337816892034603</c:v>
                </c:pt>
                <c:pt idx="158">
                  <c:v>56.453708716746</c:v>
                </c:pt>
                <c:pt idx="159">
                  <c:v>56.565413361363703</c:v>
                </c:pt>
                <c:pt idx="160">
                  <c:v>56.680380345623099</c:v>
                </c:pt>
                <c:pt idx="161">
                  <c:v>56.791194864721199</c:v>
                </c:pt>
                <c:pt idx="162">
                  <c:v>56.905247066164499</c:v>
                </c:pt>
                <c:pt idx="163">
                  <c:v>57.018838193574602</c:v>
                </c:pt>
                <c:pt idx="164">
                  <c:v>57.1283284895881</c:v>
                </c:pt>
                <c:pt idx="165">
                  <c:v>57.241019774593902</c:v>
                </c:pt>
                <c:pt idx="166">
                  <c:v>57.349593429005701</c:v>
                </c:pt>
                <c:pt idx="167">
                  <c:v>57.461338862957703</c:v>
                </c:pt>
                <c:pt idx="168">
                  <c:v>57.572635882590703</c:v>
                </c:pt>
                <c:pt idx="169">
                  <c:v>57.672778858045596</c:v>
                </c:pt>
                <c:pt idx="170">
                  <c:v>57.783229261728401</c:v>
                </c:pt>
                <c:pt idx="171">
                  <c:v>57.889696568022799</c:v>
                </c:pt>
                <c:pt idx="172">
                  <c:v>57.999280960709903</c:v>
                </c:pt>
                <c:pt idx="173">
                  <c:v>58.104914727345502</c:v>
                </c:pt>
                <c:pt idx="174">
                  <c:v>58.213642453449303</c:v>
                </c:pt>
                <c:pt idx="175">
                  <c:v>58.321938368698603</c:v>
                </c:pt>
                <c:pt idx="176">
                  <c:v>58.426331957127402</c:v>
                </c:pt>
                <c:pt idx="177">
                  <c:v>58.533785082577197</c:v>
                </c:pt>
                <c:pt idx="178">
                  <c:v>58.637322650077401</c:v>
                </c:pt>
                <c:pt idx="179">
                  <c:v>58.743892614607198</c:v>
                </c:pt>
                <c:pt idx="180">
                  <c:v>58.850042510603799</c:v>
                </c:pt>
                <c:pt idx="181">
                  <c:v>58.945560687521201</c:v>
                </c:pt>
                <c:pt idx="182">
                  <c:v>59.050917427062103</c:v>
                </c:pt>
                <c:pt idx="183">
                  <c:v>59.152481884119297</c:v>
                </c:pt>
                <c:pt idx="184">
                  <c:v>59.257027215869797</c:v>
                </c:pt>
                <c:pt idx="185">
                  <c:v>59.357810648690403</c:v>
                </c:pt>
                <c:pt idx="186">
                  <c:v>59.461553244267797</c:v>
                </c:pt>
                <c:pt idx="187">
                  <c:v>59.564891180642803</c:v>
                </c:pt>
                <c:pt idx="188">
                  <c:v>59.6645124158809</c:v>
                </c:pt>
                <c:pt idx="189">
                  <c:v>59.767060491358698</c:v>
                </c:pt>
                <c:pt idx="190">
                  <c:v>59.865881566188399</c:v>
                </c:pt>
                <c:pt idx="191">
                  <c:v>59.967604218850603</c:v>
                </c:pt>
                <c:pt idx="192">
                  <c:v>60.068933094835003</c:v>
                </c:pt>
                <c:pt idx="193">
                  <c:v>60.160119262126003</c:v>
                </c:pt>
                <c:pt idx="194">
                  <c:v>60.260704562319802</c:v>
                </c:pt>
                <c:pt idx="195">
                  <c:v>60.357676075217</c:v>
                </c:pt>
                <c:pt idx="196">
                  <c:v>60.457500602494001</c:v>
                </c:pt>
                <c:pt idx="197">
                  <c:v>60.553739787008801</c:v>
                </c:pt>
                <c:pt idx="198">
                  <c:v>60.652811583141897</c:v>
                </c:pt>
                <c:pt idx="199">
                  <c:v>60.751503893390101</c:v>
                </c:pt>
                <c:pt idx="200">
                  <c:v>60.846653179174602</c:v>
                </c:pt>
                <c:pt idx="201">
                  <c:v>60.944604697214601</c:v>
                </c:pt>
                <c:pt idx="202">
                  <c:v>61.039006576885797</c:v>
                </c:pt>
                <c:pt idx="203">
                  <c:v>61.136185861892699</c:v>
                </c:pt>
                <c:pt idx="204">
                  <c:v>61.232995742623103</c:v>
                </c:pt>
                <c:pt idx="205">
                  <c:v>61.323227148922001</c:v>
                </c:pt>
                <c:pt idx="206">
                  <c:v>61.419327649454402</c:v>
                </c:pt>
                <c:pt idx="207">
                  <c:v>61.511981874452403</c:v>
                </c:pt>
                <c:pt idx="208">
                  <c:v>61.607368657708001</c:v>
                </c:pt>
                <c:pt idx="209">
                  <c:v>61.699335806677297</c:v>
                </c:pt>
                <c:pt idx="210">
                  <c:v>61.794016326480502</c:v>
                </c:pt>
                <c:pt idx="211">
                  <c:v>61.888340752099701</c:v>
                </c:pt>
                <c:pt idx="212">
                  <c:v>61.9792851843657</c:v>
                </c:pt>
                <c:pt idx="213">
                  <c:v>62.072914412243001</c:v>
                </c:pt>
                <c:pt idx="214">
                  <c:v>62.163157749925297</c:v>
                </c:pt>
                <c:pt idx="215">
                  <c:v>62.256063889087798</c:v>
                </c:pt>
                <c:pt idx="216">
                  <c:v>62.348623270949403</c:v>
                </c:pt>
                <c:pt idx="217">
                  <c:v>62.431928769874297</c:v>
                </c:pt>
                <c:pt idx="218">
                  <c:v>62.523833238669702</c:v>
                </c:pt>
                <c:pt idx="219">
                  <c:v>62.612447895842003</c:v>
                </c:pt>
                <c:pt idx="220">
                  <c:v>62.703682133122598</c:v>
                </c:pt>
                <c:pt idx="221">
                  <c:v>62.7916515333389</c:v>
                </c:pt>
                <c:pt idx="222">
                  <c:v>62.882222449231399</c:v>
                </c:pt>
                <c:pt idx="223">
                  <c:v>62.972458887810603</c:v>
                </c:pt>
                <c:pt idx="224">
                  <c:v>63.059467655992599</c:v>
                </c:pt>
                <c:pt idx="225">
                  <c:v>63.149051031945902</c:v>
                </c:pt>
                <c:pt idx="226">
                  <c:v>63.2354024833758</c:v>
                </c:pt>
                <c:pt idx="227">
                  <c:v>63.324307970903902</c:v>
                </c:pt>
                <c:pt idx="228">
                  <c:v>63.412887631405503</c:v>
                </c:pt>
                <c:pt idx="229">
                  <c:v>63.492616422470199</c:v>
                </c:pt>
                <c:pt idx="230">
                  <c:v>63.580580637579601</c:v>
                </c:pt>
                <c:pt idx="231">
                  <c:v>63.665401709789101</c:v>
                </c:pt>
                <c:pt idx="232">
                  <c:v>63.752735997953998</c:v>
                </c:pt>
                <c:pt idx="233">
                  <c:v>63.836950573550297</c:v>
                </c:pt>
                <c:pt idx="234">
                  <c:v>63.923661342128099</c:v>
                </c:pt>
                <c:pt idx="235">
                  <c:v>64.010057669973307</c:v>
                </c:pt>
                <c:pt idx="236">
                  <c:v>64.093369159557497</c:v>
                </c:pt>
                <c:pt idx="237">
                  <c:v>64.179151480740103</c:v>
                </c:pt>
                <c:pt idx="238">
                  <c:v>64.261846066356597</c:v>
                </c:pt>
                <c:pt idx="239">
                  <c:v>64.346992214359901</c:v>
                </c:pt>
                <c:pt idx="240">
                  <c:v>64.431831938550602</c:v>
                </c:pt>
                <c:pt idx="241">
                  <c:v>64.508199297745904</c:v>
                </c:pt>
                <c:pt idx="242">
                  <c:v>64.592460166025603</c:v>
                </c:pt>
                <c:pt idx="243">
                  <c:v>64.673715491980502</c:v>
                </c:pt>
                <c:pt idx="244">
                  <c:v>64.757383800631899</c:v>
                </c:pt>
                <c:pt idx="245">
                  <c:v>64.838068566620905</c:v>
                </c:pt>
                <c:pt idx="246">
                  <c:v>64.921150259007703</c:v>
                </c:pt>
                <c:pt idx="247">
                  <c:v>65.003936088983593</c:v>
                </c:pt>
                <c:pt idx="248">
                  <c:v>65.083771126802901</c:v>
                </c:pt>
                <c:pt idx="249">
                  <c:v>65.165979165357896</c:v>
                </c:pt>
                <c:pt idx="250">
                  <c:v>65.245235465516799</c:v>
                </c:pt>
                <c:pt idx="251">
                  <c:v>65.326845861897695</c:v>
                </c:pt>
                <c:pt idx="252">
                  <c:v>65.408167829409706</c:v>
                </c:pt>
                <c:pt idx="253">
                  <c:v>65.483983394865206</c:v>
                </c:pt>
                <c:pt idx="254">
                  <c:v>65.564751251429499</c:v>
                </c:pt>
                <c:pt idx="255">
                  <c:v>65.642643110832296</c:v>
                </c:pt>
                <c:pt idx="256">
                  <c:v>65.722853158483801</c:v>
                </c:pt>
                <c:pt idx="257">
                  <c:v>65.800207879477199</c:v>
                </c:pt>
                <c:pt idx="258">
                  <c:v>65.879865632834694</c:v>
                </c:pt>
                <c:pt idx="259">
                  <c:v>65.959244803650506</c:v>
                </c:pt>
                <c:pt idx="260">
                  <c:v>66.035799425102994</c:v>
                </c:pt>
                <c:pt idx="261">
                  <c:v>66.114634490804505</c:v>
                </c:pt>
                <c:pt idx="262">
                  <c:v>66.190644155029602</c:v>
                </c:pt>
                <c:pt idx="263">
                  <c:v>66.268917290117002</c:v>
                </c:pt>
                <c:pt idx="264">
                  <c:v>66.346918738008299</c:v>
                </c:pt>
                <c:pt idx="265">
                  <c:v>66.417139264923406</c:v>
                </c:pt>
                <c:pt idx="266">
                  <c:v>66.494627366986194</c:v>
                </c:pt>
                <c:pt idx="267">
                  <c:v>66.569360879966695</c:v>
                </c:pt>
                <c:pt idx="268">
                  <c:v>66.646323333208997</c:v>
                </c:pt>
                <c:pt idx="269">
                  <c:v>66.720550639303696</c:v>
                </c:pt>
                <c:pt idx="270">
                  <c:v>66.796992564668898</c:v>
                </c:pt>
                <c:pt idx="271">
                  <c:v>66.873171901939102</c:v>
                </c:pt>
                <c:pt idx="272">
                  <c:v>66.946645045324701</c:v>
                </c:pt>
                <c:pt idx="273">
                  <c:v>67.022311460308998</c:v>
                </c:pt>
                <c:pt idx="274">
                  <c:v>67.095271592462097</c:v>
                </c:pt>
                <c:pt idx="275">
                  <c:v>67.170409034007605</c:v>
                </c:pt>
                <c:pt idx="276">
                  <c:v>67.245290289246299</c:v>
                </c:pt>
                <c:pt idx="277">
                  <c:v>67.312705820991198</c:v>
                </c:pt>
                <c:pt idx="278">
                  <c:v>67.387102967015593</c:v>
                </c:pt>
                <c:pt idx="279">
                  <c:v>67.458859728075495</c:v>
                </c:pt>
                <c:pt idx="280">
                  <c:v>67.532761091681294</c:v>
                </c:pt>
                <c:pt idx="281">
                  <c:v>67.604040372898396</c:v>
                </c:pt>
                <c:pt idx="282">
                  <c:v>67.677450712705394</c:v>
                </c:pt>
                <c:pt idx="283">
                  <c:v>67.750613321035004</c:v>
                </c:pt>
                <c:pt idx="284">
                  <c:v>67.821181108471293</c:v>
                </c:pt>
                <c:pt idx="285">
                  <c:v>67.8938597615183</c:v>
                </c:pt>
                <c:pt idx="286">
                  <c:v>67.963944132765505</c:v>
                </c:pt>
                <c:pt idx="287">
                  <c:v>68.036124340075801</c:v>
                </c:pt>
                <c:pt idx="288">
                  <c:v>68.108062763915797</c:v>
                </c:pt>
                <c:pt idx="289">
                  <c:v>68.172832560333404</c:v>
                </c:pt>
                <c:pt idx="290">
                  <c:v>68.2443140428785</c:v>
                </c:pt>
                <c:pt idx="291">
                  <c:v>68.313262665474099</c:v>
                </c:pt>
                <c:pt idx="292">
                  <c:v>68.384276122012594</c:v>
                </c:pt>
                <c:pt idx="293">
                  <c:v>68.452773963924301</c:v>
                </c:pt>
                <c:pt idx="294">
                  <c:v>68.523323819672399</c:v>
                </c:pt>
                <c:pt idx="295">
                  <c:v>68.593639753925004</c:v>
                </c:pt>
                <c:pt idx="296">
                  <c:v>68.6614657649896</c:v>
                </c:pt>
                <c:pt idx="297">
                  <c:v>68.731324672768096</c:v>
                </c:pt>
                <c:pt idx="298">
                  <c:v>68.798695275982695</c:v>
                </c:pt>
                <c:pt idx="299">
                  <c:v>68.868084043890704</c:v>
                </c:pt>
                <c:pt idx="300">
                  <c:v>68.9372444210981</c:v>
                </c:pt>
                <c:pt idx="301">
                  <c:v>69.001737039444706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B-487C-AD89-0DE93A8B5037}"/>
            </c:ext>
          </c:extLst>
        </c:ser>
        <c:ser>
          <c:idx val="1"/>
          <c:order val="1"/>
          <c:tx>
            <c:strRef>
              <c:f>STE_CEA_01!$F$5:$F$6</c:f>
              <c:strCache>
                <c:ptCount val="2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STE_CEA_01!$A$7:$A$310</c:f>
              <c:strCache>
                <c:ptCount val="304"/>
                <c:pt idx="1">
                  <c:v>Year</c:v>
                </c:pt>
                <c:pt idx="3">
                  <c:v>2015</c:v>
                </c:pt>
                <c:pt idx="4">
                  <c:v>2015</c:v>
                </c:pt>
                <c:pt idx="5">
                  <c:v>2015</c:v>
                </c:pt>
                <c:pt idx="6">
                  <c:v>2015</c:v>
                </c:pt>
                <c:pt idx="7">
                  <c:v>2015</c:v>
                </c:pt>
                <c:pt idx="8">
                  <c:v>2015</c:v>
                </c:pt>
                <c:pt idx="9">
                  <c:v>2015</c:v>
                </c:pt>
                <c:pt idx="10">
                  <c:v>2015</c:v>
                </c:pt>
                <c:pt idx="11">
                  <c:v>2015</c:v>
                </c:pt>
                <c:pt idx="12">
                  <c:v>2016</c:v>
                </c:pt>
                <c:pt idx="13">
                  <c:v>2016</c:v>
                </c:pt>
                <c:pt idx="14">
                  <c:v>2016</c:v>
                </c:pt>
                <c:pt idx="15">
                  <c:v>2016</c:v>
                </c:pt>
                <c:pt idx="16">
                  <c:v>2016</c:v>
                </c:pt>
                <c:pt idx="17">
                  <c:v>2016</c:v>
                </c:pt>
                <c:pt idx="18">
                  <c:v>2016</c:v>
                </c:pt>
                <c:pt idx="19">
                  <c:v>2016</c:v>
                </c:pt>
                <c:pt idx="20">
                  <c:v>2016</c:v>
                </c:pt>
                <c:pt idx="21">
                  <c:v>2016</c:v>
                </c:pt>
                <c:pt idx="22">
                  <c:v>2016</c:v>
                </c:pt>
                <c:pt idx="23">
                  <c:v>2016</c:v>
                </c:pt>
                <c:pt idx="24">
                  <c:v>2017</c:v>
                </c:pt>
                <c:pt idx="25">
                  <c:v>2017</c:v>
                </c:pt>
                <c:pt idx="26">
                  <c:v>2017</c:v>
                </c:pt>
                <c:pt idx="27">
                  <c:v>2017</c:v>
                </c:pt>
                <c:pt idx="28">
                  <c:v>2017</c:v>
                </c:pt>
                <c:pt idx="29">
                  <c:v>2017</c:v>
                </c:pt>
                <c:pt idx="30">
                  <c:v>2017</c:v>
                </c:pt>
                <c:pt idx="31">
                  <c:v>2017</c:v>
                </c:pt>
                <c:pt idx="32">
                  <c:v>2017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2018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2018</c:v>
                </c:pt>
                <c:pt idx="42">
                  <c:v>2018</c:v>
                </c:pt>
                <c:pt idx="43">
                  <c:v>2018</c:v>
                </c:pt>
                <c:pt idx="44">
                  <c:v>2018</c:v>
                </c:pt>
                <c:pt idx="45">
                  <c:v>2018</c:v>
                </c:pt>
                <c:pt idx="46">
                  <c:v>2018</c:v>
                </c:pt>
                <c:pt idx="47">
                  <c:v>2018</c:v>
                </c:pt>
                <c:pt idx="48">
                  <c:v>2019</c:v>
                </c:pt>
                <c:pt idx="49">
                  <c:v>2019</c:v>
                </c:pt>
                <c:pt idx="50">
                  <c:v>2019</c:v>
                </c:pt>
                <c:pt idx="51">
                  <c:v>2019</c:v>
                </c:pt>
                <c:pt idx="52">
                  <c:v>2019</c:v>
                </c:pt>
                <c:pt idx="53">
                  <c:v>2019</c:v>
                </c:pt>
                <c:pt idx="54">
                  <c:v>2019</c:v>
                </c:pt>
                <c:pt idx="55">
                  <c:v>2019</c:v>
                </c:pt>
                <c:pt idx="56">
                  <c:v>2019</c:v>
                </c:pt>
                <c:pt idx="57">
                  <c:v>2019</c:v>
                </c:pt>
                <c:pt idx="58">
                  <c:v>2019</c:v>
                </c:pt>
                <c:pt idx="59">
                  <c:v>2019</c:v>
                </c:pt>
                <c:pt idx="60">
                  <c:v>2020</c:v>
                </c:pt>
                <c:pt idx="61">
                  <c:v>2020</c:v>
                </c:pt>
                <c:pt idx="62">
                  <c:v>2020</c:v>
                </c:pt>
                <c:pt idx="63">
                  <c:v>2020</c:v>
                </c:pt>
                <c:pt idx="64">
                  <c:v>2020</c:v>
                </c:pt>
                <c:pt idx="65">
                  <c:v>2020</c:v>
                </c:pt>
                <c:pt idx="66">
                  <c:v>2020</c:v>
                </c:pt>
                <c:pt idx="67">
                  <c:v>2020</c:v>
                </c:pt>
                <c:pt idx="68">
                  <c:v>2020</c:v>
                </c:pt>
                <c:pt idx="69">
                  <c:v>2020</c:v>
                </c:pt>
                <c:pt idx="70">
                  <c:v>2020</c:v>
                </c:pt>
                <c:pt idx="71">
                  <c:v>2020</c:v>
                </c:pt>
                <c:pt idx="72">
                  <c:v>2021</c:v>
                </c:pt>
                <c:pt idx="73">
                  <c:v>2021</c:v>
                </c:pt>
                <c:pt idx="74">
                  <c:v>2021</c:v>
                </c:pt>
                <c:pt idx="75">
                  <c:v>2021</c:v>
                </c:pt>
                <c:pt idx="76">
                  <c:v>2021</c:v>
                </c:pt>
                <c:pt idx="77">
                  <c:v>2021</c:v>
                </c:pt>
                <c:pt idx="78">
                  <c:v>2021</c:v>
                </c:pt>
                <c:pt idx="79">
                  <c:v>2021</c:v>
                </c:pt>
                <c:pt idx="80">
                  <c:v>2021</c:v>
                </c:pt>
                <c:pt idx="81">
                  <c:v>2021</c:v>
                </c:pt>
                <c:pt idx="82">
                  <c:v>2021</c:v>
                </c:pt>
                <c:pt idx="83">
                  <c:v>2021</c:v>
                </c:pt>
                <c:pt idx="84">
                  <c:v>2022</c:v>
                </c:pt>
                <c:pt idx="85">
                  <c:v>2022</c:v>
                </c:pt>
                <c:pt idx="86">
                  <c:v>2022</c:v>
                </c:pt>
                <c:pt idx="87">
                  <c:v>2022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2022</c:v>
                </c:pt>
                <c:pt idx="92">
                  <c:v>2022</c:v>
                </c:pt>
                <c:pt idx="93">
                  <c:v>2022</c:v>
                </c:pt>
                <c:pt idx="94">
                  <c:v>2022</c:v>
                </c:pt>
                <c:pt idx="95">
                  <c:v>2022</c:v>
                </c:pt>
                <c:pt idx="96">
                  <c:v>2023</c:v>
                </c:pt>
                <c:pt idx="97">
                  <c:v>2023</c:v>
                </c:pt>
                <c:pt idx="98">
                  <c:v>2023</c:v>
                </c:pt>
                <c:pt idx="99">
                  <c:v>2023</c:v>
                </c:pt>
                <c:pt idx="100">
                  <c:v>2023</c:v>
                </c:pt>
                <c:pt idx="101">
                  <c:v>2023</c:v>
                </c:pt>
                <c:pt idx="102">
                  <c:v>2023</c:v>
                </c:pt>
                <c:pt idx="103">
                  <c:v>2023</c:v>
                </c:pt>
                <c:pt idx="104">
                  <c:v>2023</c:v>
                </c:pt>
                <c:pt idx="105">
                  <c:v>2023</c:v>
                </c:pt>
                <c:pt idx="106">
                  <c:v>2023</c:v>
                </c:pt>
                <c:pt idx="107">
                  <c:v>2023</c:v>
                </c:pt>
                <c:pt idx="108">
                  <c:v>2024</c:v>
                </c:pt>
                <c:pt idx="109">
                  <c:v>2024</c:v>
                </c:pt>
                <c:pt idx="110">
                  <c:v>2024</c:v>
                </c:pt>
                <c:pt idx="111">
                  <c:v>2024</c:v>
                </c:pt>
                <c:pt idx="112">
                  <c:v>2024</c:v>
                </c:pt>
                <c:pt idx="113">
                  <c:v>2024</c:v>
                </c:pt>
                <c:pt idx="114">
                  <c:v>2024</c:v>
                </c:pt>
                <c:pt idx="115">
                  <c:v>2024</c:v>
                </c:pt>
                <c:pt idx="116">
                  <c:v>2024</c:v>
                </c:pt>
                <c:pt idx="117">
                  <c:v>2024</c:v>
                </c:pt>
                <c:pt idx="118">
                  <c:v>2024</c:v>
                </c:pt>
                <c:pt idx="119">
                  <c:v>2024</c:v>
                </c:pt>
                <c:pt idx="120">
                  <c:v>2025</c:v>
                </c:pt>
                <c:pt idx="121">
                  <c:v>2025</c:v>
                </c:pt>
                <c:pt idx="122">
                  <c:v>2025</c:v>
                </c:pt>
                <c:pt idx="123">
                  <c:v>2025</c:v>
                </c:pt>
                <c:pt idx="124">
                  <c:v>2025</c:v>
                </c:pt>
                <c:pt idx="125">
                  <c:v>2025</c:v>
                </c:pt>
                <c:pt idx="126">
                  <c:v>2025</c:v>
                </c:pt>
                <c:pt idx="127">
                  <c:v>2025</c:v>
                </c:pt>
                <c:pt idx="128">
                  <c:v>2025</c:v>
                </c:pt>
                <c:pt idx="129">
                  <c:v>2025</c:v>
                </c:pt>
                <c:pt idx="130">
                  <c:v>2025</c:v>
                </c:pt>
                <c:pt idx="131">
                  <c:v>2025</c:v>
                </c:pt>
                <c:pt idx="132">
                  <c:v>2026</c:v>
                </c:pt>
                <c:pt idx="133">
                  <c:v>2026</c:v>
                </c:pt>
                <c:pt idx="134">
                  <c:v>2026</c:v>
                </c:pt>
                <c:pt idx="135">
                  <c:v>2026</c:v>
                </c:pt>
                <c:pt idx="136">
                  <c:v>2026</c:v>
                </c:pt>
                <c:pt idx="137">
                  <c:v>2026</c:v>
                </c:pt>
                <c:pt idx="138">
                  <c:v>2026</c:v>
                </c:pt>
                <c:pt idx="139">
                  <c:v>2026</c:v>
                </c:pt>
                <c:pt idx="140">
                  <c:v>2026</c:v>
                </c:pt>
                <c:pt idx="141">
                  <c:v>2026</c:v>
                </c:pt>
                <c:pt idx="142">
                  <c:v>2026</c:v>
                </c:pt>
                <c:pt idx="143">
                  <c:v>2026</c:v>
                </c:pt>
                <c:pt idx="144">
                  <c:v>2027</c:v>
                </c:pt>
                <c:pt idx="145">
                  <c:v>2027</c:v>
                </c:pt>
                <c:pt idx="146">
                  <c:v>2027</c:v>
                </c:pt>
                <c:pt idx="147">
                  <c:v>2027</c:v>
                </c:pt>
                <c:pt idx="148">
                  <c:v>2027</c:v>
                </c:pt>
                <c:pt idx="149">
                  <c:v>2027</c:v>
                </c:pt>
                <c:pt idx="150">
                  <c:v>2027</c:v>
                </c:pt>
                <c:pt idx="151">
                  <c:v>2027</c:v>
                </c:pt>
                <c:pt idx="152">
                  <c:v>2027</c:v>
                </c:pt>
                <c:pt idx="153">
                  <c:v>2027</c:v>
                </c:pt>
                <c:pt idx="154">
                  <c:v>2027</c:v>
                </c:pt>
                <c:pt idx="155">
                  <c:v>2027</c:v>
                </c:pt>
                <c:pt idx="156">
                  <c:v>2028</c:v>
                </c:pt>
                <c:pt idx="157">
                  <c:v>2028</c:v>
                </c:pt>
                <c:pt idx="158">
                  <c:v>2028</c:v>
                </c:pt>
                <c:pt idx="159">
                  <c:v>2028</c:v>
                </c:pt>
                <c:pt idx="160">
                  <c:v>2028</c:v>
                </c:pt>
                <c:pt idx="161">
                  <c:v>2028</c:v>
                </c:pt>
                <c:pt idx="162">
                  <c:v>2028</c:v>
                </c:pt>
                <c:pt idx="163">
                  <c:v>2028</c:v>
                </c:pt>
                <c:pt idx="164">
                  <c:v>2028</c:v>
                </c:pt>
                <c:pt idx="165">
                  <c:v>2028</c:v>
                </c:pt>
                <c:pt idx="166">
                  <c:v>2028</c:v>
                </c:pt>
                <c:pt idx="167">
                  <c:v>2028</c:v>
                </c:pt>
                <c:pt idx="168">
                  <c:v>2029</c:v>
                </c:pt>
                <c:pt idx="169">
                  <c:v>2029</c:v>
                </c:pt>
                <c:pt idx="170">
                  <c:v>2029</c:v>
                </c:pt>
                <c:pt idx="171">
                  <c:v>2029</c:v>
                </c:pt>
                <c:pt idx="172">
                  <c:v>2029</c:v>
                </c:pt>
                <c:pt idx="173">
                  <c:v>2029</c:v>
                </c:pt>
                <c:pt idx="174">
                  <c:v>2029</c:v>
                </c:pt>
                <c:pt idx="175">
                  <c:v>2029</c:v>
                </c:pt>
                <c:pt idx="176">
                  <c:v>2029</c:v>
                </c:pt>
                <c:pt idx="177">
                  <c:v>2029</c:v>
                </c:pt>
                <c:pt idx="178">
                  <c:v>2029</c:v>
                </c:pt>
                <c:pt idx="179">
                  <c:v>2029</c:v>
                </c:pt>
                <c:pt idx="180">
                  <c:v>2030</c:v>
                </c:pt>
                <c:pt idx="181">
                  <c:v>2030</c:v>
                </c:pt>
                <c:pt idx="182">
                  <c:v>2030</c:v>
                </c:pt>
                <c:pt idx="183">
                  <c:v>2030</c:v>
                </c:pt>
                <c:pt idx="184">
                  <c:v>2030</c:v>
                </c:pt>
                <c:pt idx="185">
                  <c:v>2030</c:v>
                </c:pt>
                <c:pt idx="186">
                  <c:v>2030</c:v>
                </c:pt>
                <c:pt idx="187">
                  <c:v>2030</c:v>
                </c:pt>
                <c:pt idx="188">
                  <c:v>2030</c:v>
                </c:pt>
                <c:pt idx="189">
                  <c:v>2030</c:v>
                </c:pt>
                <c:pt idx="190">
                  <c:v>2030</c:v>
                </c:pt>
                <c:pt idx="191">
                  <c:v>2030</c:v>
                </c:pt>
                <c:pt idx="192">
                  <c:v>2031</c:v>
                </c:pt>
                <c:pt idx="193">
                  <c:v>2031</c:v>
                </c:pt>
                <c:pt idx="194">
                  <c:v>2031</c:v>
                </c:pt>
                <c:pt idx="195">
                  <c:v>2031</c:v>
                </c:pt>
                <c:pt idx="196">
                  <c:v>2031</c:v>
                </c:pt>
                <c:pt idx="197">
                  <c:v>2031</c:v>
                </c:pt>
                <c:pt idx="198">
                  <c:v>2031</c:v>
                </c:pt>
                <c:pt idx="199">
                  <c:v>2031</c:v>
                </c:pt>
                <c:pt idx="200">
                  <c:v>2031</c:v>
                </c:pt>
                <c:pt idx="201">
                  <c:v>2031</c:v>
                </c:pt>
                <c:pt idx="202">
                  <c:v>2031</c:v>
                </c:pt>
                <c:pt idx="203">
                  <c:v>2031</c:v>
                </c:pt>
                <c:pt idx="204">
                  <c:v>2032</c:v>
                </c:pt>
                <c:pt idx="205">
                  <c:v>2032</c:v>
                </c:pt>
                <c:pt idx="206">
                  <c:v>2032</c:v>
                </c:pt>
                <c:pt idx="207">
                  <c:v>2032</c:v>
                </c:pt>
                <c:pt idx="208">
                  <c:v>2032</c:v>
                </c:pt>
                <c:pt idx="209">
                  <c:v>2032</c:v>
                </c:pt>
                <c:pt idx="210">
                  <c:v>2032</c:v>
                </c:pt>
                <c:pt idx="211">
                  <c:v>2032</c:v>
                </c:pt>
                <c:pt idx="212">
                  <c:v>2032</c:v>
                </c:pt>
                <c:pt idx="213">
                  <c:v>2032</c:v>
                </c:pt>
                <c:pt idx="214">
                  <c:v>2032</c:v>
                </c:pt>
                <c:pt idx="215">
                  <c:v>2032</c:v>
                </c:pt>
                <c:pt idx="216">
                  <c:v>2033</c:v>
                </c:pt>
                <c:pt idx="217">
                  <c:v>2033</c:v>
                </c:pt>
                <c:pt idx="218">
                  <c:v>2033</c:v>
                </c:pt>
                <c:pt idx="219">
                  <c:v>2033</c:v>
                </c:pt>
                <c:pt idx="220">
                  <c:v>2033</c:v>
                </c:pt>
                <c:pt idx="221">
                  <c:v>2033</c:v>
                </c:pt>
                <c:pt idx="222">
                  <c:v>2033</c:v>
                </c:pt>
                <c:pt idx="223">
                  <c:v>2033</c:v>
                </c:pt>
                <c:pt idx="224">
                  <c:v>2033</c:v>
                </c:pt>
                <c:pt idx="225">
                  <c:v>2033</c:v>
                </c:pt>
                <c:pt idx="226">
                  <c:v>2033</c:v>
                </c:pt>
                <c:pt idx="227">
                  <c:v>2033</c:v>
                </c:pt>
                <c:pt idx="228">
                  <c:v>2034</c:v>
                </c:pt>
                <c:pt idx="229">
                  <c:v>2034</c:v>
                </c:pt>
                <c:pt idx="230">
                  <c:v>2034</c:v>
                </c:pt>
                <c:pt idx="231">
                  <c:v>2034</c:v>
                </c:pt>
                <c:pt idx="232">
                  <c:v>2034</c:v>
                </c:pt>
                <c:pt idx="233">
                  <c:v>2034</c:v>
                </c:pt>
                <c:pt idx="234">
                  <c:v>2034</c:v>
                </c:pt>
                <c:pt idx="235">
                  <c:v>2034</c:v>
                </c:pt>
                <c:pt idx="236">
                  <c:v>2034</c:v>
                </c:pt>
                <c:pt idx="237">
                  <c:v>2034</c:v>
                </c:pt>
                <c:pt idx="238">
                  <c:v>2034</c:v>
                </c:pt>
                <c:pt idx="239">
                  <c:v>2034</c:v>
                </c:pt>
                <c:pt idx="240">
                  <c:v>2035</c:v>
                </c:pt>
                <c:pt idx="241">
                  <c:v>2035</c:v>
                </c:pt>
                <c:pt idx="242">
                  <c:v>2035</c:v>
                </c:pt>
                <c:pt idx="243">
                  <c:v>2035</c:v>
                </c:pt>
                <c:pt idx="244">
                  <c:v>2035</c:v>
                </c:pt>
                <c:pt idx="245">
                  <c:v>2035</c:v>
                </c:pt>
                <c:pt idx="246">
                  <c:v>2035</c:v>
                </c:pt>
                <c:pt idx="247">
                  <c:v>2035</c:v>
                </c:pt>
                <c:pt idx="248">
                  <c:v>2035</c:v>
                </c:pt>
                <c:pt idx="249">
                  <c:v>2035</c:v>
                </c:pt>
                <c:pt idx="250">
                  <c:v>2035</c:v>
                </c:pt>
                <c:pt idx="251">
                  <c:v>2035</c:v>
                </c:pt>
                <c:pt idx="252">
                  <c:v>2036</c:v>
                </c:pt>
                <c:pt idx="253">
                  <c:v>2036</c:v>
                </c:pt>
                <c:pt idx="254">
                  <c:v>2036</c:v>
                </c:pt>
                <c:pt idx="255">
                  <c:v>2036</c:v>
                </c:pt>
                <c:pt idx="256">
                  <c:v>2036</c:v>
                </c:pt>
                <c:pt idx="257">
                  <c:v>2036</c:v>
                </c:pt>
                <c:pt idx="258">
                  <c:v>2036</c:v>
                </c:pt>
                <c:pt idx="259">
                  <c:v>2036</c:v>
                </c:pt>
                <c:pt idx="260">
                  <c:v>2036</c:v>
                </c:pt>
                <c:pt idx="261">
                  <c:v>2036</c:v>
                </c:pt>
                <c:pt idx="262">
                  <c:v>2036</c:v>
                </c:pt>
                <c:pt idx="263">
                  <c:v>2036</c:v>
                </c:pt>
                <c:pt idx="264">
                  <c:v>2037</c:v>
                </c:pt>
                <c:pt idx="265">
                  <c:v>2037</c:v>
                </c:pt>
                <c:pt idx="266">
                  <c:v>2037</c:v>
                </c:pt>
                <c:pt idx="267">
                  <c:v>2037</c:v>
                </c:pt>
                <c:pt idx="268">
                  <c:v>2037</c:v>
                </c:pt>
                <c:pt idx="269">
                  <c:v>2037</c:v>
                </c:pt>
                <c:pt idx="270">
                  <c:v>2037</c:v>
                </c:pt>
                <c:pt idx="271">
                  <c:v>2037</c:v>
                </c:pt>
                <c:pt idx="272">
                  <c:v>2037</c:v>
                </c:pt>
                <c:pt idx="273">
                  <c:v>2037</c:v>
                </c:pt>
                <c:pt idx="274">
                  <c:v>2037</c:v>
                </c:pt>
                <c:pt idx="275">
                  <c:v>2037</c:v>
                </c:pt>
                <c:pt idx="276">
                  <c:v>2038</c:v>
                </c:pt>
                <c:pt idx="277">
                  <c:v>2038</c:v>
                </c:pt>
                <c:pt idx="278">
                  <c:v>2038</c:v>
                </c:pt>
                <c:pt idx="279">
                  <c:v>2038</c:v>
                </c:pt>
                <c:pt idx="280">
                  <c:v>2038</c:v>
                </c:pt>
                <c:pt idx="281">
                  <c:v>2038</c:v>
                </c:pt>
                <c:pt idx="282">
                  <c:v>2038</c:v>
                </c:pt>
                <c:pt idx="283">
                  <c:v>2038</c:v>
                </c:pt>
                <c:pt idx="284">
                  <c:v>2038</c:v>
                </c:pt>
                <c:pt idx="285">
                  <c:v>2038</c:v>
                </c:pt>
                <c:pt idx="286">
                  <c:v>2038</c:v>
                </c:pt>
                <c:pt idx="287">
                  <c:v>2038</c:v>
                </c:pt>
                <c:pt idx="288">
                  <c:v>2039</c:v>
                </c:pt>
                <c:pt idx="289">
                  <c:v>2039</c:v>
                </c:pt>
                <c:pt idx="290">
                  <c:v>2039</c:v>
                </c:pt>
                <c:pt idx="291">
                  <c:v>2039</c:v>
                </c:pt>
                <c:pt idx="292">
                  <c:v>2039</c:v>
                </c:pt>
                <c:pt idx="293">
                  <c:v>2039</c:v>
                </c:pt>
                <c:pt idx="294">
                  <c:v>2039</c:v>
                </c:pt>
                <c:pt idx="295">
                  <c:v>2039</c:v>
                </c:pt>
                <c:pt idx="296">
                  <c:v>2039</c:v>
                </c:pt>
                <c:pt idx="297">
                  <c:v>2039</c:v>
                </c:pt>
                <c:pt idx="298">
                  <c:v>2039</c:v>
                </c:pt>
                <c:pt idx="299">
                  <c:v>2039</c:v>
                </c:pt>
                <c:pt idx="300">
                  <c:v>2040</c:v>
                </c:pt>
                <c:pt idx="301">
                  <c:v>2040</c:v>
                </c:pt>
                <c:pt idx="302">
                  <c:v>2040</c:v>
                </c:pt>
                <c:pt idx="303">
                  <c:v>2040</c:v>
                </c:pt>
              </c:strCache>
            </c:strRef>
          </c:cat>
          <c:val>
            <c:numRef>
              <c:f>STE_CEA_01!$F$7:$F$308</c:f>
              <c:numCache>
                <c:formatCode>General</c:formatCode>
                <c:ptCount val="30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3.5654129975380001E-3</c:v>
                </c:pt>
                <c:pt idx="5">
                  <c:v>7.1739703714020003E-3</c:v>
                </c:pt>
                <c:pt idx="6">
                  <c:v>1.0800532381597E-2</c:v>
                </c:pt>
                <c:pt idx="7">
                  <c:v>1.4401062041357E-2</c:v>
                </c:pt>
                <c:pt idx="8">
                  <c:v>1.7789298203483E-2</c:v>
                </c:pt>
                <c:pt idx="9">
                  <c:v>2.1138902386832002E-2</c:v>
                </c:pt>
                <c:pt idx="10">
                  <c:v>2.4804577308472998E-2</c:v>
                </c:pt>
                <c:pt idx="11">
                  <c:v>2.9914418652756E-2</c:v>
                </c:pt>
                <c:pt idx="12">
                  <c:v>3.7738379224385998E-2</c:v>
                </c:pt>
                <c:pt idx="13">
                  <c:v>4.8784177334068E-2</c:v>
                </c:pt>
                <c:pt idx="14">
                  <c:v>6.6414418842531006E-2</c:v>
                </c:pt>
                <c:pt idx="15">
                  <c:v>9.1050372873395999E-2</c:v>
                </c:pt>
                <c:pt idx="16">
                  <c:v>0.125993002740447</c:v>
                </c:pt>
                <c:pt idx="17">
                  <c:v>0.17050779439448799</c:v>
                </c:pt>
                <c:pt idx="18">
                  <c:v>0.227418818619085</c:v>
                </c:pt>
                <c:pt idx="19">
                  <c:v>0.29409639398271897</c:v>
                </c:pt>
                <c:pt idx="20">
                  <c:v>0.36514940745535901</c:v>
                </c:pt>
                <c:pt idx="21">
                  <c:v>0.44323754068341098</c:v>
                </c:pt>
                <c:pt idx="22">
                  <c:v>0.52489648997350802</c:v>
                </c:pt>
                <c:pt idx="23">
                  <c:v>0.61351293785763195</c:v>
                </c:pt>
                <c:pt idx="24">
                  <c:v>0.70670331888699101</c:v>
                </c:pt>
                <c:pt idx="25">
                  <c:v>0.79485191111360598</c:v>
                </c:pt>
                <c:pt idx="26">
                  <c:v>0.897363220491464</c:v>
                </c:pt>
                <c:pt idx="27">
                  <c:v>1.00077391120005</c:v>
                </c:pt>
                <c:pt idx="28">
                  <c:v>1.10901562553789</c:v>
                </c:pt>
                <c:pt idx="29">
                  <c:v>1.2204095078861801</c:v>
                </c:pt>
                <c:pt idx="30">
                  <c:v>1.33605137504194</c:v>
                </c:pt>
                <c:pt idx="31">
                  <c:v>1.4558243591528599</c:v>
                </c:pt>
                <c:pt idx="32">
                  <c:v>1.57141245428201</c:v>
                </c:pt>
                <c:pt idx="33">
                  <c:v>1.68057740598843</c:v>
                </c:pt>
                <c:pt idx="34">
                  <c:v>1.78663087897113</c:v>
                </c:pt>
                <c:pt idx="35">
                  <c:v>1.89658647398758</c:v>
                </c:pt>
                <c:pt idx="36">
                  <c:v>2.0077305985501699</c:v>
                </c:pt>
                <c:pt idx="37">
                  <c:v>2.1093813228618399</c:v>
                </c:pt>
                <c:pt idx="38">
                  <c:v>2.2251196610180202</c:v>
                </c:pt>
                <c:pt idx="39">
                  <c:v>2.34142686584598</c:v>
                </c:pt>
                <c:pt idx="40">
                  <c:v>2.4619628523300401</c:v>
                </c:pt>
                <c:pt idx="41">
                  <c:v>2.5913966248917402</c:v>
                </c:pt>
                <c:pt idx="42">
                  <c:v>2.7291723545953501</c:v>
                </c:pt>
                <c:pt idx="43">
                  <c:v>2.8748886208709399</c:v>
                </c:pt>
                <c:pt idx="44">
                  <c:v>3.0129769528860999</c:v>
                </c:pt>
                <c:pt idx="45">
                  <c:v>3.1340375784002301</c:v>
                </c:pt>
                <c:pt idx="46">
                  <c:v>3.2491796842368599</c:v>
                </c:pt>
                <c:pt idx="47">
                  <c:v>3.3669807256600901</c:v>
                </c:pt>
                <c:pt idx="48">
                  <c:v>3.4850783032290402</c:v>
                </c:pt>
                <c:pt idx="49">
                  <c:v>3.5924970081818599</c:v>
                </c:pt>
                <c:pt idx="50">
                  <c:v>3.7145827369547502</c:v>
                </c:pt>
                <c:pt idx="51">
                  <c:v>3.8373238126964302</c:v>
                </c:pt>
                <c:pt idx="52">
                  <c:v>3.9624565632205599</c:v>
                </c:pt>
                <c:pt idx="53">
                  <c:v>4.1009828824283199</c:v>
                </c:pt>
                <c:pt idx="54">
                  <c:v>4.2461912570915104</c:v>
                </c:pt>
                <c:pt idx="55">
                  <c:v>4.3989159232306498</c:v>
                </c:pt>
                <c:pt idx="56">
                  <c:v>4.5408430345574002</c:v>
                </c:pt>
                <c:pt idx="57">
                  <c:v>4.6536124832653796</c:v>
                </c:pt>
                <c:pt idx="58">
                  <c:v>4.75755682874793</c:v>
                </c:pt>
                <c:pt idx="59">
                  <c:v>4.8618375807446501</c:v>
                </c:pt>
                <c:pt idx="60">
                  <c:v>4.9651536218771204</c:v>
                </c:pt>
                <c:pt idx="61">
                  <c:v>5.0617962111437498</c:v>
                </c:pt>
                <c:pt idx="62">
                  <c:v>5.1696017546160098</c:v>
                </c:pt>
                <c:pt idx="63">
                  <c:v>5.2799268957408296</c:v>
                </c:pt>
                <c:pt idx="64">
                  <c:v>5.39411021152634</c:v>
                </c:pt>
                <c:pt idx="65">
                  <c:v>5.5254790706055203</c:v>
                </c:pt>
                <c:pt idx="66">
                  <c:v>5.6672376876363399</c:v>
                </c:pt>
                <c:pt idx="67">
                  <c:v>5.8180618933603103</c:v>
                </c:pt>
                <c:pt idx="68">
                  <c:v>5.9546968029118501</c:v>
                </c:pt>
                <c:pt idx="69">
                  <c:v>6.0566199716277502</c:v>
                </c:pt>
                <c:pt idx="70">
                  <c:v>6.1467178628419799</c:v>
                </c:pt>
                <c:pt idx="71">
                  <c:v>6.2363016207602202</c:v>
                </c:pt>
                <c:pt idx="72">
                  <c:v>6.32495666243413</c:v>
                </c:pt>
                <c:pt idx="73">
                  <c:v>6.4053101297322197</c:v>
                </c:pt>
                <c:pt idx="74">
                  <c:v>6.5001324549953301</c:v>
                </c:pt>
                <c:pt idx="75">
                  <c:v>6.5997500442945798</c:v>
                </c:pt>
                <c:pt idx="76">
                  <c:v>6.7029538397819497</c:v>
                </c:pt>
                <c:pt idx="77">
                  <c:v>6.8288863695783801</c:v>
                </c:pt>
                <c:pt idx="78">
                  <c:v>6.9655413141662503</c:v>
                </c:pt>
                <c:pt idx="79">
                  <c:v>7.1122353214251</c:v>
                </c:pt>
                <c:pt idx="80">
                  <c:v>7.2431534574391403</c:v>
                </c:pt>
                <c:pt idx="81">
                  <c:v>7.3306062995796104</c:v>
                </c:pt>
                <c:pt idx="82">
                  <c:v>7.4052210839806198</c:v>
                </c:pt>
                <c:pt idx="83">
                  <c:v>7.4784789416641697</c:v>
                </c:pt>
                <c:pt idx="84">
                  <c:v>7.5510203002274103</c:v>
                </c:pt>
                <c:pt idx="85">
                  <c:v>7.6172100869971002</c:v>
                </c:pt>
                <c:pt idx="86">
                  <c:v>7.6977118984518</c:v>
                </c:pt>
                <c:pt idx="87">
                  <c:v>7.7852592761489898</c:v>
                </c:pt>
                <c:pt idx="88">
                  <c:v>7.8761784638874301</c:v>
                </c:pt>
                <c:pt idx="89">
                  <c:v>7.9948905905391401</c:v>
                </c:pt>
                <c:pt idx="90">
                  <c:v>8.12564652635945</c:v>
                </c:pt>
                <c:pt idx="91">
                  <c:v>8.26947694305127</c:v>
                </c:pt>
                <c:pt idx="92">
                  <c:v>8.3971163055483</c:v>
                </c:pt>
                <c:pt idx="93">
                  <c:v>8.4735618041359793</c:v>
                </c:pt>
                <c:pt idx="94">
                  <c:v>8.5361534693803804</c:v>
                </c:pt>
                <c:pt idx="95">
                  <c:v>8.5966301594826504</c:v>
                </c:pt>
                <c:pt idx="96">
                  <c:v>8.6565105871154504</c:v>
                </c:pt>
                <c:pt idx="97">
                  <c:v>8.7115554361325707</c:v>
                </c:pt>
                <c:pt idx="98">
                  <c:v>8.7808514322272302</c:v>
                </c:pt>
                <c:pt idx="99">
                  <c:v>8.8590636310701303</c:v>
                </c:pt>
                <c:pt idx="100">
                  <c:v>8.9404520329950206</c:v>
                </c:pt>
                <c:pt idx="101">
                  <c:v>9.0540672255478398</c:v>
                </c:pt>
                <c:pt idx="102">
                  <c:v>9.1806027264424106</c:v>
                </c:pt>
                <c:pt idx="103">
                  <c:v>9.3216343182541799</c:v>
                </c:pt>
                <c:pt idx="104">
                  <c:v>9.4451657322936899</c:v>
                </c:pt>
                <c:pt idx="105">
                  <c:v>9.5106072521863894</c:v>
                </c:pt>
                <c:pt idx="106">
                  <c:v>9.5613817599622895</c:v>
                </c:pt>
                <c:pt idx="107">
                  <c:v>9.6093875324606408</c:v>
                </c:pt>
                <c:pt idx="108">
                  <c:v>9.6569623088718508</c:v>
                </c:pt>
                <c:pt idx="109">
                  <c:v>9.7032882984573998</c:v>
                </c:pt>
                <c:pt idx="110">
                  <c:v>9.7620580036261906</c:v>
                </c:pt>
                <c:pt idx="111">
                  <c:v>9.8308780889348402</c:v>
                </c:pt>
                <c:pt idx="112">
                  <c:v>9.90476787135119</c:v>
                </c:pt>
                <c:pt idx="113">
                  <c:v>10.0131589984763</c:v>
                </c:pt>
                <c:pt idx="114">
                  <c:v>10.135745302665701</c:v>
                </c:pt>
                <c:pt idx="115">
                  <c:v>10.273187720968499</c:v>
                </c:pt>
                <c:pt idx="116">
                  <c:v>10.390395421489201</c:v>
                </c:pt>
                <c:pt idx="117">
                  <c:v>10.4455972373483</c:v>
                </c:pt>
                <c:pt idx="118">
                  <c:v>10.485598439585599</c:v>
                </c:pt>
                <c:pt idx="119">
                  <c:v>10.522407176196401</c:v>
                </c:pt>
                <c:pt idx="120">
                  <c:v>10.559017955099399</c:v>
                </c:pt>
                <c:pt idx="121">
                  <c:v>10.5941222287668</c:v>
                </c:pt>
                <c:pt idx="122">
                  <c:v>10.6431645273945</c:v>
                </c:pt>
                <c:pt idx="123">
                  <c:v>10.703769252377899</c:v>
                </c:pt>
                <c:pt idx="124">
                  <c:v>10.769424652405201</c:v>
                </c:pt>
                <c:pt idx="125">
                  <c:v>10.873022916114801</c:v>
                </c:pt>
                <c:pt idx="126">
                  <c:v>10.991534277373001</c:v>
                </c:pt>
                <c:pt idx="127">
                  <c:v>11.1260421231064</c:v>
                </c:pt>
                <c:pt idx="128">
                  <c:v>11.2390475153107</c:v>
                </c:pt>
                <c:pt idx="129">
                  <c:v>11.2844303932467</c:v>
                </c:pt>
                <c:pt idx="130">
                  <c:v>11.313706261633801</c:v>
                </c:pt>
                <c:pt idx="131">
                  <c:v>11.3389088524708</c:v>
                </c:pt>
                <c:pt idx="132">
                  <c:v>11.3637261304702</c:v>
                </c:pt>
                <c:pt idx="133">
                  <c:v>11.3881721736928</c:v>
                </c:pt>
                <c:pt idx="134">
                  <c:v>11.425955435989399</c:v>
                </c:pt>
                <c:pt idx="135">
                  <c:v>11.476432978006001</c:v>
                </c:pt>
                <c:pt idx="136">
                  <c:v>11.5315743793401</c:v>
                </c:pt>
                <c:pt idx="137">
                  <c:v>11.627456368283401</c:v>
                </c:pt>
                <c:pt idx="138">
                  <c:v>11.7384752964194</c:v>
                </c:pt>
                <c:pt idx="139">
                  <c:v>11.8665385004107</c:v>
                </c:pt>
                <c:pt idx="140">
                  <c:v>11.9726815848654</c:v>
                </c:pt>
                <c:pt idx="141">
                  <c:v>12.006938598782099</c:v>
                </c:pt>
                <c:pt idx="142">
                  <c:v>12.024916108762699</c:v>
                </c:pt>
                <c:pt idx="143">
                  <c:v>12.038486617526599</c:v>
                </c:pt>
                <c:pt idx="144">
                  <c:v>12.0519745358186</c:v>
                </c:pt>
                <c:pt idx="145">
                  <c:v>12.066554852962399</c:v>
                </c:pt>
                <c:pt idx="146">
                  <c:v>12.094245126568801</c:v>
                </c:pt>
                <c:pt idx="147">
                  <c:v>12.135944083322499</c:v>
                </c:pt>
                <c:pt idx="148">
                  <c:v>12.182333675377301</c:v>
                </c:pt>
                <c:pt idx="149">
                  <c:v>12.272070915096901</c:v>
                </c:pt>
                <c:pt idx="150">
                  <c:v>12.377465002575001</c:v>
                </c:pt>
                <c:pt idx="151">
                  <c:v>12.500923088550699</c:v>
                </c:pt>
                <c:pt idx="152">
                  <c:v>12.602073147399199</c:v>
                </c:pt>
                <c:pt idx="153">
                  <c:v>12.6278462311988</c:v>
                </c:pt>
                <c:pt idx="154">
                  <c:v>12.637140810596801</c:v>
                </c:pt>
                <c:pt idx="155">
                  <c:v>12.6417344142967</c:v>
                </c:pt>
                <c:pt idx="156">
                  <c:v>12.6464549660984</c:v>
                </c:pt>
                <c:pt idx="157">
                  <c:v>12.653988418959999</c:v>
                </c:pt>
                <c:pt idx="158">
                  <c:v>12.6744483243149</c:v>
                </c:pt>
                <c:pt idx="159">
                  <c:v>12.709307950930301</c:v>
                </c:pt>
                <c:pt idx="160">
                  <c:v>12.750746845968299</c:v>
                </c:pt>
                <c:pt idx="161">
                  <c:v>12.8361893433384</c:v>
                </c:pt>
                <c:pt idx="162">
                  <c:v>12.938134962114001</c:v>
                </c:pt>
                <c:pt idx="163">
                  <c:v>13.0577810328806</c:v>
                </c:pt>
                <c:pt idx="164">
                  <c:v>13.1522710156933</c:v>
                </c:pt>
                <c:pt idx="165">
                  <c:v>13.170791161763001</c:v>
                </c:pt>
                <c:pt idx="166">
                  <c:v>13.1730184810342</c:v>
                </c:pt>
                <c:pt idx="167">
                  <c:v>13.170466079817899</c:v>
                </c:pt>
                <c:pt idx="168">
                  <c:v>13.1682843869163</c:v>
                </c:pt>
                <c:pt idx="169">
                  <c:v>13.1695119670589</c:v>
                </c:pt>
                <c:pt idx="170">
                  <c:v>13.1837635430664</c:v>
                </c:pt>
                <c:pt idx="171">
                  <c:v>13.213244740095</c:v>
                </c:pt>
                <c:pt idx="172">
                  <c:v>13.249363020616601</c:v>
                </c:pt>
                <c:pt idx="173">
                  <c:v>13.3312314538087</c:v>
                </c:pt>
                <c:pt idx="174">
                  <c:v>13.4299788821869</c:v>
                </c:pt>
                <c:pt idx="175">
                  <c:v>13.547094046299</c:v>
                </c:pt>
                <c:pt idx="176">
                  <c:v>13.6386398610417</c:v>
                </c:pt>
                <c:pt idx="177">
                  <c:v>13.651752538129101</c:v>
                </c:pt>
                <c:pt idx="178">
                  <c:v>13.648375515265901</c:v>
                </c:pt>
                <c:pt idx="179">
                  <c:v>13.6399928407013</c:v>
                </c:pt>
                <c:pt idx="180">
                  <c:v>13.6320957881401</c:v>
                </c:pt>
                <c:pt idx="181">
                  <c:v>13.6283343385349</c:v>
                </c:pt>
                <c:pt idx="182">
                  <c:v>13.637512135647199</c:v>
                </c:pt>
                <c:pt idx="183">
                  <c:v>13.662616079092</c:v>
                </c:pt>
                <c:pt idx="184">
                  <c:v>13.694404066342001</c:v>
                </c:pt>
                <c:pt idx="185">
                  <c:v>13.773443391787501</c:v>
                </c:pt>
                <c:pt idx="186">
                  <c:v>13.869689306788</c:v>
                </c:pt>
                <c:pt idx="187">
                  <c:v>13.984876597604501</c:v>
                </c:pt>
                <c:pt idx="188">
                  <c:v>14.0741134803511</c:v>
                </c:pt>
                <c:pt idx="189">
                  <c:v>14.0827550372532</c:v>
                </c:pt>
                <c:pt idx="190">
                  <c:v>14.074713026802399</c:v>
                </c:pt>
                <c:pt idx="191">
                  <c:v>14.0614630581517</c:v>
                </c:pt>
                <c:pt idx="192">
                  <c:v>14.048787579973</c:v>
                </c:pt>
                <c:pt idx="193">
                  <c:v>14.040852665311499</c:v>
                </c:pt>
                <c:pt idx="194">
                  <c:v>14.045796235604</c:v>
                </c:pt>
                <c:pt idx="195">
                  <c:v>14.067263466683499</c:v>
                </c:pt>
                <c:pt idx="196">
                  <c:v>14.0954547589221</c:v>
                </c:pt>
                <c:pt idx="197">
                  <c:v>14.172211461798501</c:v>
                </c:pt>
                <c:pt idx="198">
                  <c:v>14.266465539377</c:v>
                </c:pt>
                <c:pt idx="199">
                  <c:v>14.3801633388816</c:v>
                </c:pt>
                <c:pt idx="200">
                  <c:v>14.4675575578504</c:v>
                </c:pt>
                <c:pt idx="201">
                  <c:v>14.4724310395406</c:v>
                </c:pt>
                <c:pt idx="202">
                  <c:v>14.4604329073395</c:v>
                </c:pt>
                <c:pt idx="203">
                  <c:v>14.4430445563055</c:v>
                </c:pt>
                <c:pt idx="204">
                  <c:v>14.426301463050899</c:v>
                </c:pt>
                <c:pt idx="205">
                  <c:v>14.4147753729934</c:v>
                </c:pt>
                <c:pt idx="206">
                  <c:v>14.4167783809303</c:v>
                </c:pt>
                <c:pt idx="207">
                  <c:v>14.4351301649153</c:v>
                </c:pt>
                <c:pt idx="208">
                  <c:v>14.462194170090999</c:v>
                </c:pt>
                <c:pt idx="209">
                  <c:v>14.5375006641524</c:v>
                </c:pt>
                <c:pt idx="210">
                  <c:v>14.6309774245535</c:v>
                </c:pt>
                <c:pt idx="211">
                  <c:v>14.743122151673999</c:v>
                </c:pt>
                <c:pt idx="212">
                  <c:v>14.8258116965412</c:v>
                </c:pt>
                <c:pt idx="213">
                  <c:v>14.826816902705801</c:v>
                </c:pt>
                <c:pt idx="214">
                  <c:v>14.811217999068299</c:v>
                </c:pt>
                <c:pt idx="215">
                  <c:v>14.7902629283829</c:v>
                </c:pt>
                <c:pt idx="216">
                  <c:v>14.7701126364566</c:v>
                </c:pt>
                <c:pt idx="217">
                  <c:v>14.7559908406584</c:v>
                </c:pt>
                <c:pt idx="218">
                  <c:v>14.7549072417007</c:v>
                </c:pt>
                <c:pt idx="219">
                  <c:v>14.770621586778899</c:v>
                </c:pt>
                <c:pt idx="220">
                  <c:v>14.7951151315432</c:v>
                </c:pt>
                <c:pt idx="221">
                  <c:v>14.8688734379972</c:v>
                </c:pt>
                <c:pt idx="222">
                  <c:v>14.9610471408342</c:v>
                </c:pt>
                <c:pt idx="223">
                  <c:v>15.072269434134199</c:v>
                </c:pt>
                <c:pt idx="224">
                  <c:v>15.153679420128</c:v>
                </c:pt>
                <c:pt idx="225">
                  <c:v>15.1518733704974</c:v>
                </c:pt>
                <c:pt idx="226">
                  <c:v>15.133297559794901</c:v>
                </c:pt>
                <c:pt idx="227">
                  <c:v>15.109218445426601</c:v>
                </c:pt>
                <c:pt idx="228">
                  <c:v>15.0859940568927</c:v>
                </c:pt>
                <c:pt idx="229">
                  <c:v>15.0691921019736</c:v>
                </c:pt>
                <c:pt idx="230">
                  <c:v>15.065414431440599</c:v>
                </c:pt>
                <c:pt idx="231">
                  <c:v>15.0788370461041</c:v>
                </c:pt>
                <c:pt idx="232">
                  <c:v>15.101100445408701</c:v>
                </c:pt>
                <c:pt idx="233">
                  <c:v>15.1735560929227</c:v>
                </c:pt>
                <c:pt idx="234">
                  <c:v>15.264652209818699</c:v>
                </c:pt>
                <c:pt idx="235">
                  <c:v>15.375142410436901</c:v>
                </c:pt>
                <c:pt idx="236">
                  <c:v>15.455486527692999</c:v>
                </c:pt>
                <c:pt idx="237">
                  <c:v>15.4512111146908</c:v>
                </c:pt>
                <c:pt idx="238">
                  <c:v>15.430007318364201</c:v>
                </c:pt>
                <c:pt idx="239">
                  <c:v>15.4031653948539</c:v>
                </c:pt>
                <c:pt idx="240">
                  <c:v>15.3772207979658</c:v>
                </c:pt>
                <c:pt idx="241">
                  <c:v>15.3580477538286</c:v>
                </c:pt>
                <c:pt idx="242">
                  <c:v>15.351893185589599</c:v>
                </c:pt>
                <c:pt idx="243">
                  <c:v>15.3633028153981</c:v>
                </c:pt>
                <c:pt idx="244">
                  <c:v>15.383610418617</c:v>
                </c:pt>
                <c:pt idx="245">
                  <c:v>15.454958452473701</c:v>
                </c:pt>
                <c:pt idx="246">
                  <c:v>15.5451550582032</c:v>
                </c:pt>
                <c:pt idx="247">
                  <c:v>15.6550618724422</c:v>
                </c:pt>
                <c:pt idx="248">
                  <c:v>15.7345095814869</c:v>
                </c:pt>
                <c:pt idx="249">
                  <c:v>15.7280435327544</c:v>
                </c:pt>
                <c:pt idx="250">
                  <c:v>15.7044975070537</c:v>
                </c:pt>
                <c:pt idx="251">
                  <c:v>15.6751892380131</c:v>
                </c:pt>
                <c:pt idx="252">
                  <c:v>15.6468152115482</c:v>
                </c:pt>
                <c:pt idx="253">
                  <c:v>15.625148660669399</c:v>
                </c:pt>
                <c:pt idx="254">
                  <c:v>15.617578286676499</c:v>
                </c:pt>
                <c:pt idx="255">
                  <c:v>15.6271652843861</c:v>
                </c:pt>
                <c:pt idx="256">
                  <c:v>15.64775263642</c:v>
                </c:pt>
                <c:pt idx="257">
                  <c:v>15.718608104209601</c:v>
                </c:pt>
                <c:pt idx="258">
                  <c:v>15.808927181339399</c:v>
                </c:pt>
                <c:pt idx="259">
                  <c:v>15.9179874383513</c:v>
                </c:pt>
                <c:pt idx="260">
                  <c:v>15.9932653299892</c:v>
                </c:pt>
                <c:pt idx="261">
                  <c:v>15.9841615510996</c:v>
                </c:pt>
                <c:pt idx="262">
                  <c:v>15.9583100321228</c:v>
                </c:pt>
                <c:pt idx="263">
                  <c:v>15.9267928100052</c:v>
                </c:pt>
                <c:pt idx="264">
                  <c:v>15.8963498844198</c:v>
                </c:pt>
                <c:pt idx="265">
                  <c:v>15.873621194225301</c:v>
                </c:pt>
                <c:pt idx="266">
                  <c:v>15.864160441563101</c:v>
                </c:pt>
                <c:pt idx="267">
                  <c:v>15.8721523652016</c:v>
                </c:pt>
                <c:pt idx="268">
                  <c:v>15.891220207348701</c:v>
                </c:pt>
                <c:pt idx="269">
                  <c:v>15.961259616483201</c:v>
                </c:pt>
                <c:pt idx="270">
                  <c:v>16.0509483983998</c:v>
                </c:pt>
                <c:pt idx="271">
                  <c:v>16.159632917038401</c:v>
                </c:pt>
                <c:pt idx="272">
                  <c:v>16.234220913095498</c:v>
                </c:pt>
                <c:pt idx="273">
                  <c:v>16.223342996303199</c:v>
                </c:pt>
                <c:pt idx="274">
                  <c:v>16.1955847242271</c:v>
                </c:pt>
                <c:pt idx="275">
                  <c:v>16.162056796267301</c:v>
                </c:pt>
                <c:pt idx="276">
                  <c:v>16.129633249139602</c:v>
                </c:pt>
                <c:pt idx="277">
                  <c:v>16.105184140098402</c:v>
                </c:pt>
                <c:pt idx="278">
                  <c:v>16.094015080815499</c:v>
                </c:pt>
                <c:pt idx="279">
                  <c:v>16.100571265260701</c:v>
                </c:pt>
                <c:pt idx="280">
                  <c:v>16.118274519247599</c:v>
                </c:pt>
                <c:pt idx="281">
                  <c:v>16.187603489839699</c:v>
                </c:pt>
                <c:pt idx="282">
                  <c:v>16.276756058427399</c:v>
                </c:pt>
                <c:pt idx="283">
                  <c:v>16.385141198329599</c:v>
                </c:pt>
                <c:pt idx="284">
                  <c:v>16.459133243852801</c:v>
                </c:pt>
                <c:pt idx="285">
                  <c:v>16.446645767904698</c:v>
                </c:pt>
                <c:pt idx="286">
                  <c:v>16.417151162361598</c:v>
                </c:pt>
                <c:pt idx="287">
                  <c:v>16.381790130256601</c:v>
                </c:pt>
                <c:pt idx="288">
                  <c:v>16.3475605510272</c:v>
                </c:pt>
                <c:pt idx="289">
                  <c:v>16.321543437386001</c:v>
                </c:pt>
                <c:pt idx="290">
                  <c:v>16.308821363035399</c:v>
                </c:pt>
                <c:pt idx="291">
                  <c:v>16.314077353281899</c:v>
                </c:pt>
                <c:pt idx="292">
                  <c:v>16.330547653556</c:v>
                </c:pt>
                <c:pt idx="293">
                  <c:v>16.3992544217088</c:v>
                </c:pt>
                <c:pt idx="294">
                  <c:v>16.487948738968001</c:v>
                </c:pt>
                <c:pt idx="295">
                  <c:v>16.596096868062101</c:v>
                </c:pt>
                <c:pt idx="296">
                  <c:v>16.669571325638099</c:v>
                </c:pt>
                <c:pt idx="297">
                  <c:v>16.6556155454108</c:v>
                </c:pt>
                <c:pt idx="298">
                  <c:v>16.624531459127802</c:v>
                </c:pt>
                <c:pt idx="299">
                  <c:v>16.5874906030528</c:v>
                </c:pt>
                <c:pt idx="300">
                  <c:v>16.551605774836101</c:v>
                </c:pt>
                <c:pt idx="301">
                  <c:v>16.523558393822299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8B-487C-AD89-0DE93A8B5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309744"/>
        <c:axId val="441310136"/>
      </c:lineChart>
      <c:catAx>
        <c:axId val="44130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10136"/>
        <c:crosses val="autoZero"/>
        <c:auto val="1"/>
        <c:lblAlgn val="ctr"/>
        <c:lblOffset val="100"/>
        <c:noMultiLvlLbl val="0"/>
      </c:catAx>
      <c:valAx>
        <c:axId val="441310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0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STE_CEA_02!$E$8:$E$9</c:f>
              <c:strCache>
                <c:ptCount val="2"/>
                <c:pt idx="0">
                  <c:v>C mass of trees</c:v>
                </c:pt>
                <c:pt idx="1">
                  <c:v>tC/ha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STE_CEA_02!$A$12:$A$313</c:f>
              <c:numCache>
                <c:formatCode>General</c:formatCode>
                <c:ptCount val="302"/>
                <c:pt idx="0">
                  <c:v>2015</c:v>
                </c:pt>
                <c:pt idx="1">
                  <c:v>2015</c:v>
                </c:pt>
                <c:pt idx="2">
                  <c:v>2015</c:v>
                </c:pt>
                <c:pt idx="3">
                  <c:v>2015</c:v>
                </c:pt>
                <c:pt idx="4">
                  <c:v>2015</c:v>
                </c:pt>
                <c:pt idx="5">
                  <c:v>2015</c:v>
                </c:pt>
                <c:pt idx="6">
                  <c:v>2015</c:v>
                </c:pt>
                <c:pt idx="7">
                  <c:v>2016</c:v>
                </c:pt>
                <c:pt idx="8">
                  <c:v>2016</c:v>
                </c:pt>
                <c:pt idx="9">
                  <c:v>2016</c:v>
                </c:pt>
                <c:pt idx="10">
                  <c:v>2016</c:v>
                </c:pt>
                <c:pt idx="11">
                  <c:v>2016</c:v>
                </c:pt>
                <c:pt idx="12">
                  <c:v>2016</c:v>
                </c:pt>
                <c:pt idx="13">
                  <c:v>2016</c:v>
                </c:pt>
                <c:pt idx="14">
                  <c:v>2016</c:v>
                </c:pt>
                <c:pt idx="15">
                  <c:v>2016</c:v>
                </c:pt>
                <c:pt idx="16">
                  <c:v>2016</c:v>
                </c:pt>
                <c:pt idx="17">
                  <c:v>2016</c:v>
                </c:pt>
                <c:pt idx="18">
                  <c:v>2016</c:v>
                </c:pt>
                <c:pt idx="19">
                  <c:v>2017</c:v>
                </c:pt>
                <c:pt idx="20">
                  <c:v>2017</c:v>
                </c:pt>
                <c:pt idx="21">
                  <c:v>2017</c:v>
                </c:pt>
                <c:pt idx="22">
                  <c:v>2017</c:v>
                </c:pt>
                <c:pt idx="23">
                  <c:v>2017</c:v>
                </c:pt>
                <c:pt idx="24">
                  <c:v>2017</c:v>
                </c:pt>
                <c:pt idx="25">
                  <c:v>2017</c:v>
                </c:pt>
                <c:pt idx="26">
                  <c:v>2017</c:v>
                </c:pt>
                <c:pt idx="27">
                  <c:v>2017</c:v>
                </c:pt>
                <c:pt idx="28">
                  <c:v>2017</c:v>
                </c:pt>
                <c:pt idx="29">
                  <c:v>2017</c:v>
                </c:pt>
                <c:pt idx="30">
                  <c:v>2017</c:v>
                </c:pt>
                <c:pt idx="31">
                  <c:v>2018</c:v>
                </c:pt>
                <c:pt idx="32">
                  <c:v>2018</c:v>
                </c:pt>
                <c:pt idx="33">
                  <c:v>2018</c:v>
                </c:pt>
                <c:pt idx="34">
                  <c:v>2018</c:v>
                </c:pt>
                <c:pt idx="35">
                  <c:v>2018</c:v>
                </c:pt>
                <c:pt idx="36">
                  <c:v>2018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2018</c:v>
                </c:pt>
                <c:pt idx="42">
                  <c:v>2018</c:v>
                </c:pt>
                <c:pt idx="43">
                  <c:v>2019</c:v>
                </c:pt>
                <c:pt idx="44">
                  <c:v>2019</c:v>
                </c:pt>
                <c:pt idx="45">
                  <c:v>2019</c:v>
                </c:pt>
                <c:pt idx="46">
                  <c:v>2019</c:v>
                </c:pt>
                <c:pt idx="47">
                  <c:v>2019</c:v>
                </c:pt>
                <c:pt idx="48">
                  <c:v>2019</c:v>
                </c:pt>
                <c:pt idx="49">
                  <c:v>2019</c:v>
                </c:pt>
                <c:pt idx="50">
                  <c:v>2019</c:v>
                </c:pt>
                <c:pt idx="51">
                  <c:v>2019</c:v>
                </c:pt>
                <c:pt idx="52">
                  <c:v>2019</c:v>
                </c:pt>
                <c:pt idx="53">
                  <c:v>2019</c:v>
                </c:pt>
                <c:pt idx="54">
                  <c:v>2019</c:v>
                </c:pt>
                <c:pt idx="55">
                  <c:v>2020</c:v>
                </c:pt>
                <c:pt idx="56">
                  <c:v>2020</c:v>
                </c:pt>
                <c:pt idx="57">
                  <c:v>2020</c:v>
                </c:pt>
                <c:pt idx="58">
                  <c:v>2020</c:v>
                </c:pt>
                <c:pt idx="59">
                  <c:v>2020</c:v>
                </c:pt>
                <c:pt idx="60">
                  <c:v>2020</c:v>
                </c:pt>
                <c:pt idx="61">
                  <c:v>2020</c:v>
                </c:pt>
                <c:pt idx="62">
                  <c:v>2020</c:v>
                </c:pt>
                <c:pt idx="63">
                  <c:v>2020</c:v>
                </c:pt>
                <c:pt idx="64">
                  <c:v>2020</c:v>
                </c:pt>
                <c:pt idx="65">
                  <c:v>2020</c:v>
                </c:pt>
                <c:pt idx="66">
                  <c:v>2020</c:v>
                </c:pt>
                <c:pt idx="67">
                  <c:v>2021</c:v>
                </c:pt>
                <c:pt idx="68">
                  <c:v>2021</c:v>
                </c:pt>
                <c:pt idx="69">
                  <c:v>2021</c:v>
                </c:pt>
                <c:pt idx="70">
                  <c:v>2021</c:v>
                </c:pt>
                <c:pt idx="71">
                  <c:v>2021</c:v>
                </c:pt>
                <c:pt idx="72">
                  <c:v>2021</c:v>
                </c:pt>
                <c:pt idx="73">
                  <c:v>2021</c:v>
                </c:pt>
                <c:pt idx="74">
                  <c:v>2021</c:v>
                </c:pt>
                <c:pt idx="75">
                  <c:v>2021</c:v>
                </c:pt>
                <c:pt idx="76">
                  <c:v>2021</c:v>
                </c:pt>
                <c:pt idx="77">
                  <c:v>2021</c:v>
                </c:pt>
                <c:pt idx="78">
                  <c:v>2021</c:v>
                </c:pt>
                <c:pt idx="79">
                  <c:v>2022</c:v>
                </c:pt>
                <c:pt idx="80">
                  <c:v>2022</c:v>
                </c:pt>
                <c:pt idx="81">
                  <c:v>2022</c:v>
                </c:pt>
                <c:pt idx="82">
                  <c:v>2022</c:v>
                </c:pt>
                <c:pt idx="83">
                  <c:v>2022</c:v>
                </c:pt>
                <c:pt idx="84">
                  <c:v>2022</c:v>
                </c:pt>
                <c:pt idx="85">
                  <c:v>2022</c:v>
                </c:pt>
                <c:pt idx="86">
                  <c:v>2022</c:v>
                </c:pt>
                <c:pt idx="87">
                  <c:v>2022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2023</c:v>
                </c:pt>
                <c:pt idx="92">
                  <c:v>2023</c:v>
                </c:pt>
                <c:pt idx="93">
                  <c:v>2023</c:v>
                </c:pt>
                <c:pt idx="94">
                  <c:v>2023</c:v>
                </c:pt>
                <c:pt idx="95">
                  <c:v>2023</c:v>
                </c:pt>
                <c:pt idx="96">
                  <c:v>2023</c:v>
                </c:pt>
                <c:pt idx="97">
                  <c:v>2023</c:v>
                </c:pt>
                <c:pt idx="98">
                  <c:v>2023</c:v>
                </c:pt>
                <c:pt idx="99">
                  <c:v>2023</c:v>
                </c:pt>
                <c:pt idx="100">
                  <c:v>2023</c:v>
                </c:pt>
                <c:pt idx="101">
                  <c:v>2023</c:v>
                </c:pt>
                <c:pt idx="102">
                  <c:v>2023</c:v>
                </c:pt>
                <c:pt idx="103">
                  <c:v>2024</c:v>
                </c:pt>
                <c:pt idx="104">
                  <c:v>2024</c:v>
                </c:pt>
                <c:pt idx="105">
                  <c:v>2024</c:v>
                </c:pt>
                <c:pt idx="106">
                  <c:v>2024</c:v>
                </c:pt>
                <c:pt idx="107">
                  <c:v>2024</c:v>
                </c:pt>
                <c:pt idx="108">
                  <c:v>2024</c:v>
                </c:pt>
                <c:pt idx="109">
                  <c:v>2024</c:v>
                </c:pt>
                <c:pt idx="110">
                  <c:v>2024</c:v>
                </c:pt>
                <c:pt idx="111">
                  <c:v>2024</c:v>
                </c:pt>
                <c:pt idx="112">
                  <c:v>2024</c:v>
                </c:pt>
                <c:pt idx="113">
                  <c:v>2024</c:v>
                </c:pt>
                <c:pt idx="114">
                  <c:v>2024</c:v>
                </c:pt>
                <c:pt idx="115">
                  <c:v>2025</c:v>
                </c:pt>
                <c:pt idx="116">
                  <c:v>2025</c:v>
                </c:pt>
                <c:pt idx="117">
                  <c:v>2025</c:v>
                </c:pt>
                <c:pt idx="118">
                  <c:v>2025</c:v>
                </c:pt>
                <c:pt idx="119">
                  <c:v>2025</c:v>
                </c:pt>
                <c:pt idx="120">
                  <c:v>2025</c:v>
                </c:pt>
                <c:pt idx="121">
                  <c:v>2025</c:v>
                </c:pt>
                <c:pt idx="122">
                  <c:v>2025</c:v>
                </c:pt>
                <c:pt idx="123">
                  <c:v>2025</c:v>
                </c:pt>
                <c:pt idx="124">
                  <c:v>2025</c:v>
                </c:pt>
                <c:pt idx="125">
                  <c:v>2025</c:v>
                </c:pt>
                <c:pt idx="126">
                  <c:v>2025</c:v>
                </c:pt>
                <c:pt idx="127">
                  <c:v>2026</c:v>
                </c:pt>
                <c:pt idx="128">
                  <c:v>2026</c:v>
                </c:pt>
                <c:pt idx="129">
                  <c:v>2026</c:v>
                </c:pt>
                <c:pt idx="130">
                  <c:v>2026</c:v>
                </c:pt>
                <c:pt idx="131">
                  <c:v>2026</c:v>
                </c:pt>
                <c:pt idx="132">
                  <c:v>2026</c:v>
                </c:pt>
                <c:pt idx="133">
                  <c:v>2026</c:v>
                </c:pt>
                <c:pt idx="134">
                  <c:v>2026</c:v>
                </c:pt>
                <c:pt idx="135">
                  <c:v>2026</c:v>
                </c:pt>
                <c:pt idx="136">
                  <c:v>2026</c:v>
                </c:pt>
                <c:pt idx="137">
                  <c:v>2026</c:v>
                </c:pt>
                <c:pt idx="138">
                  <c:v>2026</c:v>
                </c:pt>
                <c:pt idx="139">
                  <c:v>2027</c:v>
                </c:pt>
                <c:pt idx="140">
                  <c:v>2027</c:v>
                </c:pt>
                <c:pt idx="141">
                  <c:v>2027</c:v>
                </c:pt>
                <c:pt idx="142">
                  <c:v>2027</c:v>
                </c:pt>
                <c:pt idx="143">
                  <c:v>2027</c:v>
                </c:pt>
                <c:pt idx="144">
                  <c:v>2027</c:v>
                </c:pt>
                <c:pt idx="145">
                  <c:v>2027</c:v>
                </c:pt>
                <c:pt idx="146">
                  <c:v>2027</c:v>
                </c:pt>
                <c:pt idx="147">
                  <c:v>2027</c:v>
                </c:pt>
                <c:pt idx="148">
                  <c:v>2027</c:v>
                </c:pt>
                <c:pt idx="149">
                  <c:v>2027</c:v>
                </c:pt>
                <c:pt idx="150">
                  <c:v>2027</c:v>
                </c:pt>
                <c:pt idx="151">
                  <c:v>2028</c:v>
                </c:pt>
                <c:pt idx="152">
                  <c:v>2028</c:v>
                </c:pt>
                <c:pt idx="153">
                  <c:v>2028</c:v>
                </c:pt>
                <c:pt idx="154">
                  <c:v>2028</c:v>
                </c:pt>
                <c:pt idx="155">
                  <c:v>2028</c:v>
                </c:pt>
                <c:pt idx="156">
                  <c:v>2028</c:v>
                </c:pt>
                <c:pt idx="157">
                  <c:v>2028</c:v>
                </c:pt>
                <c:pt idx="158">
                  <c:v>2028</c:v>
                </c:pt>
                <c:pt idx="159">
                  <c:v>2028</c:v>
                </c:pt>
                <c:pt idx="160">
                  <c:v>2028</c:v>
                </c:pt>
                <c:pt idx="161">
                  <c:v>2028</c:v>
                </c:pt>
                <c:pt idx="162">
                  <c:v>2028</c:v>
                </c:pt>
                <c:pt idx="163">
                  <c:v>2029</c:v>
                </c:pt>
                <c:pt idx="164">
                  <c:v>2029</c:v>
                </c:pt>
                <c:pt idx="165">
                  <c:v>2029</c:v>
                </c:pt>
                <c:pt idx="166">
                  <c:v>2029</c:v>
                </c:pt>
                <c:pt idx="167">
                  <c:v>2029</c:v>
                </c:pt>
                <c:pt idx="168">
                  <c:v>2029</c:v>
                </c:pt>
                <c:pt idx="169">
                  <c:v>2029</c:v>
                </c:pt>
                <c:pt idx="170">
                  <c:v>2029</c:v>
                </c:pt>
                <c:pt idx="171">
                  <c:v>2029</c:v>
                </c:pt>
                <c:pt idx="172">
                  <c:v>2029</c:v>
                </c:pt>
                <c:pt idx="173">
                  <c:v>2029</c:v>
                </c:pt>
                <c:pt idx="174">
                  <c:v>2029</c:v>
                </c:pt>
                <c:pt idx="175">
                  <c:v>2030</c:v>
                </c:pt>
                <c:pt idx="176">
                  <c:v>2030</c:v>
                </c:pt>
                <c:pt idx="177">
                  <c:v>2030</c:v>
                </c:pt>
                <c:pt idx="178">
                  <c:v>2030</c:v>
                </c:pt>
                <c:pt idx="179">
                  <c:v>2030</c:v>
                </c:pt>
                <c:pt idx="180">
                  <c:v>2030</c:v>
                </c:pt>
                <c:pt idx="181">
                  <c:v>2030</c:v>
                </c:pt>
                <c:pt idx="182">
                  <c:v>2030</c:v>
                </c:pt>
                <c:pt idx="183">
                  <c:v>2030</c:v>
                </c:pt>
                <c:pt idx="184">
                  <c:v>2030</c:v>
                </c:pt>
                <c:pt idx="185">
                  <c:v>2030</c:v>
                </c:pt>
                <c:pt idx="186">
                  <c:v>2030</c:v>
                </c:pt>
                <c:pt idx="187">
                  <c:v>2031</c:v>
                </c:pt>
                <c:pt idx="188">
                  <c:v>2031</c:v>
                </c:pt>
                <c:pt idx="189">
                  <c:v>2031</c:v>
                </c:pt>
                <c:pt idx="190">
                  <c:v>2031</c:v>
                </c:pt>
                <c:pt idx="191">
                  <c:v>2031</c:v>
                </c:pt>
                <c:pt idx="192">
                  <c:v>2031</c:v>
                </c:pt>
                <c:pt idx="193">
                  <c:v>2031</c:v>
                </c:pt>
                <c:pt idx="194">
                  <c:v>2031</c:v>
                </c:pt>
                <c:pt idx="195">
                  <c:v>2031</c:v>
                </c:pt>
                <c:pt idx="196">
                  <c:v>2031</c:v>
                </c:pt>
                <c:pt idx="197">
                  <c:v>2031</c:v>
                </c:pt>
                <c:pt idx="198">
                  <c:v>2031</c:v>
                </c:pt>
                <c:pt idx="199">
                  <c:v>2032</c:v>
                </c:pt>
                <c:pt idx="200">
                  <c:v>2032</c:v>
                </c:pt>
                <c:pt idx="201">
                  <c:v>2032</c:v>
                </c:pt>
                <c:pt idx="202">
                  <c:v>2032</c:v>
                </c:pt>
                <c:pt idx="203">
                  <c:v>2032</c:v>
                </c:pt>
                <c:pt idx="204">
                  <c:v>2032</c:v>
                </c:pt>
                <c:pt idx="205">
                  <c:v>2032</c:v>
                </c:pt>
                <c:pt idx="206">
                  <c:v>2032</c:v>
                </c:pt>
                <c:pt idx="207">
                  <c:v>2032</c:v>
                </c:pt>
                <c:pt idx="208">
                  <c:v>2032</c:v>
                </c:pt>
                <c:pt idx="209">
                  <c:v>2032</c:v>
                </c:pt>
                <c:pt idx="210">
                  <c:v>2032</c:v>
                </c:pt>
                <c:pt idx="211">
                  <c:v>2033</c:v>
                </c:pt>
                <c:pt idx="212">
                  <c:v>2033</c:v>
                </c:pt>
                <c:pt idx="213">
                  <c:v>2033</c:v>
                </c:pt>
                <c:pt idx="214">
                  <c:v>2033</c:v>
                </c:pt>
                <c:pt idx="215">
                  <c:v>2033</c:v>
                </c:pt>
                <c:pt idx="216">
                  <c:v>2033</c:v>
                </c:pt>
                <c:pt idx="217">
                  <c:v>2033</c:v>
                </c:pt>
                <c:pt idx="218">
                  <c:v>2033</c:v>
                </c:pt>
                <c:pt idx="219">
                  <c:v>2033</c:v>
                </c:pt>
                <c:pt idx="220">
                  <c:v>2033</c:v>
                </c:pt>
                <c:pt idx="221">
                  <c:v>2033</c:v>
                </c:pt>
                <c:pt idx="222">
                  <c:v>2033</c:v>
                </c:pt>
                <c:pt idx="223">
                  <c:v>2034</c:v>
                </c:pt>
                <c:pt idx="224">
                  <c:v>2034</c:v>
                </c:pt>
                <c:pt idx="225">
                  <c:v>2034</c:v>
                </c:pt>
                <c:pt idx="226">
                  <c:v>2034</c:v>
                </c:pt>
                <c:pt idx="227">
                  <c:v>2034</c:v>
                </c:pt>
                <c:pt idx="228">
                  <c:v>2034</c:v>
                </c:pt>
                <c:pt idx="229">
                  <c:v>2034</c:v>
                </c:pt>
                <c:pt idx="230">
                  <c:v>2034</c:v>
                </c:pt>
                <c:pt idx="231">
                  <c:v>2034</c:v>
                </c:pt>
                <c:pt idx="232">
                  <c:v>2034</c:v>
                </c:pt>
                <c:pt idx="233">
                  <c:v>2034</c:v>
                </c:pt>
                <c:pt idx="234">
                  <c:v>2034</c:v>
                </c:pt>
                <c:pt idx="235">
                  <c:v>2035</c:v>
                </c:pt>
                <c:pt idx="236">
                  <c:v>2035</c:v>
                </c:pt>
                <c:pt idx="237">
                  <c:v>2035</c:v>
                </c:pt>
                <c:pt idx="238">
                  <c:v>2035</c:v>
                </c:pt>
                <c:pt idx="239">
                  <c:v>2035</c:v>
                </c:pt>
                <c:pt idx="240">
                  <c:v>2035</c:v>
                </c:pt>
                <c:pt idx="241">
                  <c:v>2035</c:v>
                </c:pt>
                <c:pt idx="242">
                  <c:v>2035</c:v>
                </c:pt>
                <c:pt idx="243">
                  <c:v>2035</c:v>
                </c:pt>
                <c:pt idx="244">
                  <c:v>2035</c:v>
                </c:pt>
                <c:pt idx="245">
                  <c:v>2035</c:v>
                </c:pt>
                <c:pt idx="246">
                  <c:v>2035</c:v>
                </c:pt>
                <c:pt idx="247">
                  <c:v>2036</c:v>
                </c:pt>
                <c:pt idx="248">
                  <c:v>2036</c:v>
                </c:pt>
                <c:pt idx="249">
                  <c:v>2036</c:v>
                </c:pt>
                <c:pt idx="250">
                  <c:v>2036</c:v>
                </c:pt>
                <c:pt idx="251">
                  <c:v>2036</c:v>
                </c:pt>
                <c:pt idx="252">
                  <c:v>2036</c:v>
                </c:pt>
                <c:pt idx="253">
                  <c:v>2036</c:v>
                </c:pt>
                <c:pt idx="254">
                  <c:v>2036</c:v>
                </c:pt>
                <c:pt idx="255">
                  <c:v>2036</c:v>
                </c:pt>
                <c:pt idx="256">
                  <c:v>2036</c:v>
                </c:pt>
                <c:pt idx="257">
                  <c:v>2036</c:v>
                </c:pt>
                <c:pt idx="258">
                  <c:v>2036</c:v>
                </c:pt>
                <c:pt idx="259">
                  <c:v>2037</c:v>
                </c:pt>
                <c:pt idx="260">
                  <c:v>2037</c:v>
                </c:pt>
                <c:pt idx="261">
                  <c:v>2037</c:v>
                </c:pt>
                <c:pt idx="262">
                  <c:v>2037</c:v>
                </c:pt>
                <c:pt idx="263">
                  <c:v>2037</c:v>
                </c:pt>
                <c:pt idx="264">
                  <c:v>2037</c:v>
                </c:pt>
                <c:pt idx="265">
                  <c:v>2037</c:v>
                </c:pt>
                <c:pt idx="266">
                  <c:v>2037</c:v>
                </c:pt>
                <c:pt idx="267">
                  <c:v>2037</c:v>
                </c:pt>
                <c:pt idx="268">
                  <c:v>2037</c:v>
                </c:pt>
                <c:pt idx="269">
                  <c:v>2037</c:v>
                </c:pt>
                <c:pt idx="270">
                  <c:v>2037</c:v>
                </c:pt>
                <c:pt idx="271">
                  <c:v>2038</c:v>
                </c:pt>
                <c:pt idx="272">
                  <c:v>2038</c:v>
                </c:pt>
                <c:pt idx="273">
                  <c:v>2038</c:v>
                </c:pt>
                <c:pt idx="274">
                  <c:v>2038</c:v>
                </c:pt>
                <c:pt idx="275">
                  <c:v>2038</c:v>
                </c:pt>
                <c:pt idx="276">
                  <c:v>2038</c:v>
                </c:pt>
                <c:pt idx="277">
                  <c:v>2038</c:v>
                </c:pt>
                <c:pt idx="278">
                  <c:v>2038</c:v>
                </c:pt>
                <c:pt idx="279">
                  <c:v>2038</c:v>
                </c:pt>
                <c:pt idx="280">
                  <c:v>2038</c:v>
                </c:pt>
                <c:pt idx="281">
                  <c:v>2038</c:v>
                </c:pt>
                <c:pt idx="282">
                  <c:v>2038</c:v>
                </c:pt>
                <c:pt idx="283">
                  <c:v>2039</c:v>
                </c:pt>
                <c:pt idx="284">
                  <c:v>2039</c:v>
                </c:pt>
                <c:pt idx="285">
                  <c:v>2039</c:v>
                </c:pt>
                <c:pt idx="286">
                  <c:v>2039</c:v>
                </c:pt>
                <c:pt idx="287">
                  <c:v>2039</c:v>
                </c:pt>
                <c:pt idx="288">
                  <c:v>2039</c:v>
                </c:pt>
                <c:pt idx="289">
                  <c:v>2039</c:v>
                </c:pt>
                <c:pt idx="290">
                  <c:v>2039</c:v>
                </c:pt>
                <c:pt idx="291">
                  <c:v>2039</c:v>
                </c:pt>
                <c:pt idx="292">
                  <c:v>2039</c:v>
                </c:pt>
                <c:pt idx="293">
                  <c:v>2039</c:v>
                </c:pt>
                <c:pt idx="294">
                  <c:v>2039</c:v>
                </c:pt>
                <c:pt idx="295">
                  <c:v>2040</c:v>
                </c:pt>
                <c:pt idx="296">
                  <c:v>2040</c:v>
                </c:pt>
                <c:pt idx="297">
                  <c:v>2040</c:v>
                </c:pt>
                <c:pt idx="298">
                  <c:v>2040</c:v>
                </c:pt>
              </c:numCache>
            </c:numRef>
          </c:cat>
          <c:val>
            <c:numRef>
              <c:f>STE_CEA_02!$E$10:$E$311</c:f>
              <c:numCache>
                <c:formatCode>General</c:formatCode>
                <c:ptCount val="302"/>
                <c:pt idx="0">
                  <c:v>0</c:v>
                </c:pt>
                <c:pt idx="1">
                  <c:v>0.29370000000000002</c:v>
                </c:pt>
                <c:pt idx="2">
                  <c:v>0.29370000000000002</c:v>
                </c:pt>
                <c:pt idx="3">
                  <c:v>0.29370387814465798</c:v>
                </c:pt>
                <c:pt idx="4">
                  <c:v>0.29397334663194002</c:v>
                </c:pt>
                <c:pt idx="5">
                  <c:v>0.29705837958300102</c:v>
                </c:pt>
                <c:pt idx="6">
                  <c:v>0.31220449649046</c:v>
                </c:pt>
                <c:pt idx="7">
                  <c:v>0.36824685335931101</c:v>
                </c:pt>
                <c:pt idx="8">
                  <c:v>0.51296191128972801</c:v>
                </c:pt>
                <c:pt idx="9">
                  <c:v>0.77095398471834298</c:v>
                </c:pt>
                <c:pt idx="10">
                  <c:v>1.1435979568301999</c:v>
                </c:pt>
                <c:pt idx="11">
                  <c:v>1.6886116405563201</c:v>
                </c:pt>
                <c:pt idx="12">
                  <c:v>2.4985468444237502</c:v>
                </c:pt>
                <c:pt idx="13">
                  <c:v>3.36146885412417</c:v>
                </c:pt>
                <c:pt idx="14">
                  <c:v>4.48415786265039</c:v>
                </c:pt>
                <c:pt idx="15">
                  <c:v>5.5733337258618096</c:v>
                </c:pt>
                <c:pt idx="16">
                  <c:v>6.49707683273901</c:v>
                </c:pt>
                <c:pt idx="17">
                  <c:v>7.4377260113528001</c:v>
                </c:pt>
                <c:pt idx="18">
                  <c:v>8.4482072841087401</c:v>
                </c:pt>
                <c:pt idx="19">
                  <c:v>9.1960325785034307</c:v>
                </c:pt>
                <c:pt idx="20">
                  <c:v>9.9846388834212298</c:v>
                </c:pt>
                <c:pt idx="21">
                  <c:v>10.7867631731412</c:v>
                </c:pt>
                <c:pt idx="22">
                  <c:v>11.5208647979542</c:v>
                </c:pt>
                <c:pt idx="23">
                  <c:v>12.3356451322236</c:v>
                </c:pt>
                <c:pt idx="24">
                  <c:v>12.871475031541101</c:v>
                </c:pt>
                <c:pt idx="25">
                  <c:v>13.420855173495999</c:v>
                </c:pt>
                <c:pt idx="26">
                  <c:v>13.698562454532301</c:v>
                </c:pt>
                <c:pt idx="27">
                  <c:v>13.974495305057999</c:v>
                </c:pt>
                <c:pt idx="28">
                  <c:v>14.5229946791305</c:v>
                </c:pt>
                <c:pt idx="29">
                  <c:v>15.057514593212501</c:v>
                </c:pt>
                <c:pt idx="30">
                  <c:v>15.608576143240001</c:v>
                </c:pt>
                <c:pt idx="31">
                  <c:v>16.142130402351601</c:v>
                </c:pt>
                <c:pt idx="32">
                  <c:v>16.693388960352401</c:v>
                </c:pt>
                <c:pt idx="33">
                  <c:v>17.244226143958699</c:v>
                </c:pt>
                <c:pt idx="34">
                  <c:v>17.7411288232916</c:v>
                </c:pt>
                <c:pt idx="35">
                  <c:v>18.289019415372699</c:v>
                </c:pt>
                <c:pt idx="36">
                  <c:v>18.816512957307499</c:v>
                </c:pt>
                <c:pt idx="37">
                  <c:v>19.360088727228401</c:v>
                </c:pt>
                <c:pt idx="38">
                  <c:v>19.8844584183988</c:v>
                </c:pt>
                <c:pt idx="39">
                  <c:v>20.689186165053599</c:v>
                </c:pt>
                <c:pt idx="40">
                  <c:v>21.232270449478101</c:v>
                </c:pt>
                <c:pt idx="41">
                  <c:v>21.747052490253601</c:v>
                </c:pt>
                <c:pt idx="42">
                  <c:v>22.2764496249271</c:v>
                </c:pt>
                <c:pt idx="43">
                  <c:v>22.786169729975001</c:v>
                </c:pt>
                <c:pt idx="44">
                  <c:v>23.310062851119699</c:v>
                </c:pt>
                <c:pt idx="45">
                  <c:v>23.830970509533</c:v>
                </c:pt>
                <c:pt idx="46">
                  <c:v>24.298808516482499</c:v>
                </c:pt>
                <c:pt idx="47">
                  <c:v>24.809398020355601</c:v>
                </c:pt>
                <c:pt idx="48">
                  <c:v>25.3001313660444</c:v>
                </c:pt>
                <c:pt idx="49">
                  <c:v>25.803943948230799</c:v>
                </c:pt>
                <c:pt idx="50">
                  <c:v>26.2882629012454</c:v>
                </c:pt>
                <c:pt idx="51">
                  <c:v>26.543237364598301</c:v>
                </c:pt>
                <c:pt idx="52">
                  <c:v>27.034506953394601</c:v>
                </c:pt>
                <c:pt idx="53">
                  <c:v>27.509857488958701</c:v>
                </c:pt>
                <c:pt idx="54">
                  <c:v>27.996846773423702</c:v>
                </c:pt>
                <c:pt idx="55">
                  <c:v>28.4646669766082</c:v>
                </c:pt>
                <c:pt idx="56">
                  <c:v>28.944470871560501</c:v>
                </c:pt>
                <c:pt idx="57">
                  <c:v>29.420574820291499</c:v>
                </c:pt>
                <c:pt idx="58">
                  <c:v>29.8625899446087</c:v>
                </c:pt>
                <c:pt idx="59">
                  <c:v>30.330971691920901</c:v>
                </c:pt>
                <c:pt idx="60">
                  <c:v>30.780160023048602</c:v>
                </c:pt>
                <c:pt idx="61">
                  <c:v>31.240615467193901</c:v>
                </c:pt>
                <c:pt idx="62">
                  <c:v>31.682622823333599</c:v>
                </c:pt>
                <c:pt idx="63">
                  <c:v>32.351677760604503</c:v>
                </c:pt>
                <c:pt idx="64">
                  <c:v>32.799100498547098</c:v>
                </c:pt>
                <c:pt idx="65">
                  <c:v>33.227686736784101</c:v>
                </c:pt>
                <c:pt idx="66">
                  <c:v>33.666850780445799</c:v>
                </c:pt>
                <c:pt idx="67">
                  <c:v>34.088266243607997</c:v>
                </c:pt>
                <c:pt idx="68">
                  <c:v>34.520036794364202</c:v>
                </c:pt>
                <c:pt idx="69">
                  <c:v>34.948066283733397</c:v>
                </c:pt>
                <c:pt idx="70">
                  <c:v>35.331469354192997</c:v>
                </c:pt>
                <c:pt idx="71">
                  <c:v>35.751777134007298</c:v>
                </c:pt>
                <c:pt idx="72">
                  <c:v>36.1549695757489</c:v>
                </c:pt>
                <c:pt idx="73">
                  <c:v>36.567988540491903</c:v>
                </c:pt>
                <c:pt idx="74">
                  <c:v>36.9642061468425</c:v>
                </c:pt>
                <c:pt idx="75">
                  <c:v>37.175766217636898</c:v>
                </c:pt>
                <c:pt idx="76">
                  <c:v>37.378202757146099</c:v>
                </c:pt>
                <c:pt idx="77">
                  <c:v>37.764224555737698</c:v>
                </c:pt>
                <c:pt idx="78">
                  <c:v>38.162399876215197</c:v>
                </c:pt>
                <c:pt idx="79">
                  <c:v>38.544325286529798</c:v>
                </c:pt>
                <c:pt idx="80">
                  <c:v>38.935505446527102</c:v>
                </c:pt>
                <c:pt idx="81">
                  <c:v>39.323178216911103</c:v>
                </c:pt>
                <c:pt idx="82">
                  <c:v>39.670341776682697</c:v>
                </c:pt>
                <c:pt idx="83">
                  <c:v>40.051413462660399</c:v>
                </c:pt>
                <c:pt idx="84">
                  <c:v>40.416496794192803</c:v>
                </c:pt>
                <c:pt idx="85">
                  <c:v>40.790376243511702</c:v>
                </c:pt>
                <c:pt idx="86">
                  <c:v>41.1489883113288</c:v>
                </c:pt>
                <c:pt idx="87">
                  <c:v>41.516268858729198</c:v>
                </c:pt>
                <c:pt idx="88">
                  <c:v>42.058083995921102</c:v>
                </c:pt>
                <c:pt idx="89">
                  <c:v>42.409781918323503</c:v>
                </c:pt>
                <c:pt idx="90">
                  <c:v>42.765298365295202</c:v>
                </c:pt>
                <c:pt idx="91">
                  <c:v>43.106297640681397</c:v>
                </c:pt>
                <c:pt idx="92">
                  <c:v>43.455542670686199</c:v>
                </c:pt>
                <c:pt idx="93">
                  <c:v>43.801645887713597</c:v>
                </c:pt>
                <c:pt idx="94">
                  <c:v>44.111580277889601</c:v>
                </c:pt>
                <c:pt idx="95">
                  <c:v>44.451633662412398</c:v>
                </c:pt>
                <c:pt idx="96">
                  <c:v>44.777630680711098</c:v>
                </c:pt>
                <c:pt idx="97">
                  <c:v>45.1115233295601</c:v>
                </c:pt>
                <c:pt idx="98">
                  <c:v>45.431798696769597</c:v>
                </c:pt>
                <c:pt idx="99">
                  <c:v>45.759838247590103</c:v>
                </c:pt>
                <c:pt idx="100">
                  <c:v>46.086253634238602</c:v>
                </c:pt>
                <c:pt idx="101">
                  <c:v>46.397972555480699</c:v>
                </c:pt>
                <c:pt idx="102">
                  <c:v>46.717104917232099</c:v>
                </c:pt>
                <c:pt idx="103">
                  <c:v>47.023241610134498</c:v>
                </c:pt>
                <c:pt idx="104">
                  <c:v>47.336820963875503</c:v>
                </c:pt>
                <c:pt idx="105">
                  <c:v>47.6476226859862</c:v>
                </c:pt>
                <c:pt idx="106">
                  <c:v>47.935884380216898</c:v>
                </c:pt>
                <c:pt idx="107">
                  <c:v>48.241272302311501</c:v>
                </c:pt>
                <c:pt idx="108">
                  <c:v>48.534122212693198</c:v>
                </c:pt>
                <c:pt idx="109">
                  <c:v>48.8341163998737</c:v>
                </c:pt>
                <c:pt idx="110">
                  <c:v>49.121927322188803</c:v>
                </c:pt>
                <c:pt idx="111">
                  <c:v>49.415586596687497</c:v>
                </c:pt>
                <c:pt idx="112">
                  <c:v>49.703170523132897</c:v>
                </c:pt>
                <c:pt idx="113">
                  <c:v>49.983535501352797</c:v>
                </c:pt>
                <c:pt idx="114">
                  <c:v>50.270651447387898</c:v>
                </c:pt>
                <c:pt idx="115">
                  <c:v>50.546133422678999</c:v>
                </c:pt>
                <c:pt idx="116">
                  <c:v>50.828373641752201</c:v>
                </c:pt>
                <c:pt idx="117">
                  <c:v>51.108176565102198</c:v>
                </c:pt>
                <c:pt idx="118">
                  <c:v>51.358829322129203</c:v>
                </c:pt>
                <c:pt idx="119">
                  <c:v>51.633982451883199</c:v>
                </c:pt>
                <c:pt idx="120">
                  <c:v>51.897913436901597</c:v>
                </c:pt>
                <c:pt idx="121">
                  <c:v>52.1683472970035</c:v>
                </c:pt>
                <c:pt idx="122">
                  <c:v>52.427860847712701</c:v>
                </c:pt>
                <c:pt idx="123">
                  <c:v>52.693779975649598</c:v>
                </c:pt>
                <c:pt idx="124">
                  <c:v>52.831207057610499</c:v>
                </c:pt>
                <c:pt idx="125">
                  <c:v>52.9585011770709</c:v>
                </c:pt>
                <c:pt idx="126">
                  <c:v>53.089489639298201</c:v>
                </c:pt>
                <c:pt idx="127">
                  <c:v>53.215647356950697</c:v>
                </c:pt>
                <c:pt idx="128">
                  <c:v>53.345465142567498</c:v>
                </c:pt>
                <c:pt idx="129">
                  <c:v>53.474734647232097</c:v>
                </c:pt>
                <c:pt idx="130">
                  <c:v>53.591025489041797</c:v>
                </c:pt>
                <c:pt idx="131">
                  <c:v>53.719259940226202</c:v>
                </c:pt>
                <c:pt idx="132">
                  <c:v>53.8428441518029</c:v>
                </c:pt>
                <c:pt idx="133">
                  <c:v>53.970020004876297</c:v>
                </c:pt>
                <c:pt idx="134">
                  <c:v>54.092585398285401</c:v>
                </c:pt>
                <c:pt idx="135">
                  <c:v>54.218714259368902</c:v>
                </c:pt>
                <c:pt idx="136">
                  <c:v>54.344315448904602</c:v>
                </c:pt>
                <c:pt idx="137">
                  <c:v>54.465365349522301</c:v>
                </c:pt>
                <c:pt idx="138">
                  <c:v>54.589936806733597</c:v>
                </c:pt>
                <c:pt idx="139">
                  <c:v>54.709928097402504</c:v>
                </c:pt>
                <c:pt idx="140">
                  <c:v>54.833409165726202</c:v>
                </c:pt>
                <c:pt idx="141">
                  <c:v>54.956377242351103</c:v>
                </c:pt>
                <c:pt idx="142">
                  <c:v>55.067006636233401</c:v>
                </c:pt>
                <c:pt idx="143">
                  <c:v>55.1890062671104</c:v>
                </c:pt>
                <c:pt idx="144">
                  <c:v>55.306589828228198</c:v>
                </c:pt>
                <c:pt idx="145">
                  <c:v>55.4275989622883</c:v>
                </c:pt>
                <c:pt idx="146">
                  <c:v>55.544229234593203</c:v>
                </c:pt>
                <c:pt idx="147">
                  <c:v>55.664258703400598</c:v>
                </c:pt>
                <c:pt idx="148">
                  <c:v>55.783794419998799</c:v>
                </c:pt>
                <c:pt idx="149">
                  <c:v>55.899006616541797</c:v>
                </c:pt>
                <c:pt idx="150">
                  <c:v>56.017578765193598</c:v>
                </c:pt>
                <c:pt idx="151">
                  <c:v>56.131806190451599</c:v>
                </c:pt>
                <c:pt idx="152">
                  <c:v>56.249361995780603</c:v>
                </c:pt>
                <c:pt idx="153">
                  <c:v>56.366437711805702</c:v>
                </c:pt>
                <c:pt idx="154">
                  <c:v>56.475527889550001</c:v>
                </c:pt>
                <c:pt idx="155">
                  <c:v>56.591681959806799</c:v>
                </c:pt>
                <c:pt idx="156">
                  <c:v>56.703639396547104</c:v>
                </c:pt>
                <c:pt idx="157">
                  <c:v>56.818866577901801</c:v>
                </c:pt>
                <c:pt idx="158">
                  <c:v>56.929931917473198</c:v>
                </c:pt>
                <c:pt idx="159">
                  <c:v>57.044242289650803</c:v>
                </c:pt>
                <c:pt idx="160">
                  <c:v>57.158090566382803</c:v>
                </c:pt>
                <c:pt idx="161">
                  <c:v>57.2678287493315</c:v>
                </c:pt>
                <c:pt idx="162">
                  <c:v>57.3807751900966</c:v>
                </c:pt>
                <c:pt idx="163">
                  <c:v>57.489592884817</c:v>
                </c:pt>
                <c:pt idx="164">
                  <c:v>57.6015913760898</c:v>
                </c:pt>
                <c:pt idx="165">
                  <c:v>57.713140459415797</c:v>
                </c:pt>
                <c:pt idx="166">
                  <c:v>57.813510255770098</c:v>
                </c:pt>
                <c:pt idx="167">
                  <c:v>57.924210847000801</c:v>
                </c:pt>
                <c:pt idx="168">
                  <c:v>58.0309193390556</c:v>
                </c:pt>
                <c:pt idx="169">
                  <c:v>58.140751999948002</c:v>
                </c:pt>
                <c:pt idx="170">
                  <c:v>58.246625104859099</c:v>
                </c:pt>
                <c:pt idx="171">
                  <c:v>58.355599200310301</c:v>
                </c:pt>
                <c:pt idx="172">
                  <c:v>58.4641405276816</c:v>
                </c:pt>
                <c:pt idx="173">
                  <c:v>58.568770705195902</c:v>
                </c:pt>
                <c:pt idx="174">
                  <c:v>58.6764673743209</c:v>
                </c:pt>
                <c:pt idx="175">
                  <c:v>58.780238023648501</c:v>
                </c:pt>
                <c:pt idx="176">
                  <c:v>58.887049571201402</c:v>
                </c:pt>
                <c:pt idx="177">
                  <c:v>58.993440118727698</c:v>
                </c:pt>
                <c:pt idx="178">
                  <c:v>59.089174861860499</c:v>
                </c:pt>
                <c:pt idx="179">
                  <c:v>59.194770493950202</c:v>
                </c:pt>
                <c:pt idx="180">
                  <c:v>59.296565264200098</c:v>
                </c:pt>
                <c:pt idx="181">
                  <c:v>59.4013476888029</c:v>
                </c:pt>
                <c:pt idx="182">
                  <c:v>59.502359702390898</c:v>
                </c:pt>
                <c:pt idx="183">
                  <c:v>59.606337610111403</c:v>
                </c:pt>
                <c:pt idx="184">
                  <c:v>59.709909960879003</c:v>
                </c:pt>
                <c:pt idx="185">
                  <c:v>59.809757198508898</c:v>
                </c:pt>
                <c:pt idx="186">
                  <c:v>59.912537935856797</c:v>
                </c:pt>
                <c:pt idx="187">
                  <c:v>60.011581806250597</c:v>
                </c:pt>
                <c:pt idx="188">
                  <c:v>60.113535286888997</c:v>
                </c:pt>
                <c:pt idx="189">
                  <c:v>60.215094116924902</c:v>
                </c:pt>
                <c:pt idx="190">
                  <c:v>60.3064872373686</c:v>
                </c:pt>
                <c:pt idx="191">
                  <c:v>60.407300841184799</c:v>
                </c:pt>
                <c:pt idx="192">
                  <c:v>60.504492473732299</c:v>
                </c:pt>
                <c:pt idx="193">
                  <c:v>60.604543615781999</c:v>
                </c:pt>
                <c:pt idx="194">
                  <c:v>60.7010012941181</c:v>
                </c:pt>
                <c:pt idx="195">
                  <c:v>60.800298033771199</c:v>
                </c:pt>
                <c:pt idx="196">
                  <c:v>60.8992144448872</c:v>
                </c:pt>
                <c:pt idx="197">
                  <c:v>60.994579804361898</c:v>
                </c:pt>
                <c:pt idx="198">
                  <c:v>61.092753778139503</c:v>
                </c:pt>
                <c:pt idx="199">
                  <c:v>61.187368794645998</c:v>
                </c:pt>
                <c:pt idx="200">
                  <c:v>61.284768818193001</c:v>
                </c:pt>
                <c:pt idx="201">
                  <c:v>61.381798616873802</c:v>
                </c:pt>
                <c:pt idx="202">
                  <c:v>61.472235013808003</c:v>
                </c:pt>
                <c:pt idx="203">
                  <c:v>61.568553856294798</c:v>
                </c:pt>
                <c:pt idx="204">
                  <c:v>61.661418610598503</c:v>
                </c:pt>
                <c:pt idx="205">
                  <c:v>61.757022149923003</c:v>
                </c:pt>
                <c:pt idx="206">
                  <c:v>61.849198301385499</c:v>
                </c:pt>
                <c:pt idx="207">
                  <c:v>61.9440940076788</c:v>
                </c:pt>
                <c:pt idx="208">
                  <c:v>62.038632828317098</c:v>
                </c:pt>
                <c:pt idx="209">
                  <c:v>62.1297839899403</c:v>
                </c:pt>
                <c:pt idx="210">
                  <c:v>62.223626067466299</c:v>
                </c:pt>
                <c:pt idx="211">
                  <c:v>62.314073432990703</c:v>
                </c:pt>
                <c:pt idx="212">
                  <c:v>62.407190812395001</c:v>
                </c:pt>
                <c:pt idx="213">
                  <c:v>62.499960663458502</c:v>
                </c:pt>
                <c:pt idx="214">
                  <c:v>62.5834556042022</c:v>
                </c:pt>
                <c:pt idx="215">
                  <c:v>62.675569085772302</c:v>
                </c:pt>
                <c:pt idx="216">
                  <c:v>62.764385290195001</c:v>
                </c:pt>
                <c:pt idx="217">
                  <c:v>62.855827049509301</c:v>
                </c:pt>
                <c:pt idx="218">
                  <c:v>62.943996561661997</c:v>
                </c:pt>
                <c:pt idx="219">
                  <c:v>63.034773523965796</c:v>
                </c:pt>
                <c:pt idx="220">
                  <c:v>63.1252152647834</c:v>
                </c:pt>
                <c:pt idx="221">
                  <c:v>63.212422007608197</c:v>
                </c:pt>
                <c:pt idx="222">
                  <c:v>63.302209232623902</c:v>
                </c:pt>
                <c:pt idx="223">
                  <c:v>63.388756170025097</c:v>
                </c:pt>
                <c:pt idx="224">
                  <c:v>63.477863996351402</c:v>
                </c:pt>
                <c:pt idx="225">
                  <c:v>63.566645270410802</c:v>
                </c:pt>
                <c:pt idx="226">
                  <c:v>63.646555543772003</c:v>
                </c:pt>
                <c:pt idx="227">
                  <c:v>63.734720002377799</c:v>
                </c:pt>
                <c:pt idx="228">
                  <c:v>63.819734178251601</c:v>
                </c:pt>
                <c:pt idx="229">
                  <c:v>63.907267307373601</c:v>
                </c:pt>
                <c:pt idx="230">
                  <c:v>63.991673636144803</c:v>
                </c:pt>
                <c:pt idx="231">
                  <c:v>64.078581857163599</c:v>
                </c:pt>
                <c:pt idx="232">
                  <c:v>64.165174937128995</c:v>
                </c:pt>
                <c:pt idx="233">
                  <c:v>64.248676168539902</c:v>
                </c:pt>
                <c:pt idx="234">
                  <c:v>64.334653874148998</c:v>
                </c:pt>
                <c:pt idx="235">
                  <c:v>64.417535903889402</c:v>
                </c:pt>
                <c:pt idx="236">
                  <c:v>64.502876017577194</c:v>
                </c:pt>
                <c:pt idx="237">
                  <c:v>64.587909024685203</c:v>
                </c:pt>
                <c:pt idx="238">
                  <c:v>64.664450378011594</c:v>
                </c:pt>
                <c:pt idx="239">
                  <c:v>64.748903239245706</c:v>
                </c:pt>
                <c:pt idx="240">
                  <c:v>64.830343724177496</c:v>
                </c:pt>
                <c:pt idx="241">
                  <c:v>64.914202705052006</c:v>
                </c:pt>
                <c:pt idx="242">
                  <c:v>64.995071358207795</c:v>
                </c:pt>
                <c:pt idx="243">
                  <c:v>65.078342415101105</c:v>
                </c:pt>
                <c:pt idx="244">
                  <c:v>65.161316949942304</c:v>
                </c:pt>
                <c:pt idx="245">
                  <c:v>65.241333980414893</c:v>
                </c:pt>
                <c:pt idx="246">
                  <c:v>65.323729435445799</c:v>
                </c:pt>
                <c:pt idx="247">
                  <c:v>65.403165604386601</c:v>
                </c:pt>
                <c:pt idx="248">
                  <c:v>65.484962083074507</c:v>
                </c:pt>
                <c:pt idx="249">
                  <c:v>65.566469489538605</c:v>
                </c:pt>
                <c:pt idx="250">
                  <c:v>65.642457950541797</c:v>
                </c:pt>
                <c:pt idx="251">
                  <c:v>65.723410009921395</c:v>
                </c:pt>
                <c:pt idx="252">
                  <c:v>65.801479526405203</c:v>
                </c:pt>
                <c:pt idx="253">
                  <c:v>65.881872532265007</c:v>
                </c:pt>
                <c:pt idx="254">
                  <c:v>65.959403711746305</c:v>
                </c:pt>
                <c:pt idx="255">
                  <c:v>66.039243190789193</c:v>
                </c:pt>
                <c:pt idx="256">
                  <c:v>66.118803465510197</c:v>
                </c:pt>
                <c:pt idx="257">
                  <c:v>66.195532759674606</c:v>
                </c:pt>
                <c:pt idx="258">
                  <c:v>66.274547714706003</c:v>
                </c:pt>
                <c:pt idx="259">
                  <c:v>66.350730081119906</c:v>
                </c:pt>
                <c:pt idx="260">
                  <c:v>66.429181849798695</c:v>
                </c:pt>
                <c:pt idx="261">
                  <c:v>66.507361324618699</c:v>
                </c:pt>
                <c:pt idx="262">
                  <c:v>66.577742131082005</c:v>
                </c:pt>
                <c:pt idx="263">
                  <c:v>66.655407113649304</c:v>
                </c:pt>
                <c:pt idx="264">
                  <c:v>66.730311231821403</c:v>
                </c:pt>
                <c:pt idx="265">
                  <c:v>66.807449391461901</c:v>
                </c:pt>
                <c:pt idx="266">
                  <c:v>66.8818461719667</c:v>
                </c:pt>
                <c:pt idx="267">
                  <c:v>66.958462640853895</c:v>
                </c:pt>
                <c:pt idx="268">
                  <c:v>67.034815934936503</c:v>
                </c:pt>
                <c:pt idx="269">
                  <c:v>67.108456867681397</c:v>
                </c:pt>
                <c:pt idx="270">
                  <c:v>67.184296093284004</c:v>
                </c:pt>
                <c:pt idx="271">
                  <c:v>67.257422184536196</c:v>
                </c:pt>
                <c:pt idx="272">
                  <c:v>67.332731253393504</c:v>
                </c:pt>
                <c:pt idx="273">
                  <c:v>67.407783563281598</c:v>
                </c:pt>
                <c:pt idx="274">
                  <c:v>67.475353106082594</c:v>
                </c:pt>
                <c:pt idx="275">
                  <c:v>67.549920224467698</c:v>
                </c:pt>
                <c:pt idx="276">
                  <c:v>67.621840937221194</c:v>
                </c:pt>
                <c:pt idx="277">
                  <c:v>67.695911164607594</c:v>
                </c:pt>
                <c:pt idx="278">
                  <c:v>67.767353329768</c:v>
                </c:pt>
                <c:pt idx="279">
                  <c:v>67.840931435220398</c:v>
                </c:pt>
                <c:pt idx="280">
                  <c:v>67.9142612550894</c:v>
                </c:pt>
                <c:pt idx="281">
                  <c:v>67.984990335057304</c:v>
                </c:pt>
                <c:pt idx="282">
                  <c:v>68.057835117026201</c:v>
                </c:pt>
                <c:pt idx="283">
                  <c:v>68.128079077753497</c:v>
                </c:pt>
                <c:pt idx="284">
                  <c:v>68.200424297824497</c:v>
                </c:pt>
                <c:pt idx="285">
                  <c:v>68.272527193382601</c:v>
                </c:pt>
                <c:pt idx="286">
                  <c:v>68.337445082000798</c:v>
                </c:pt>
                <c:pt idx="287">
                  <c:v>68.409090013625701</c:v>
                </c:pt>
                <c:pt idx="288">
                  <c:v>68.478196304643603</c:v>
                </c:pt>
                <c:pt idx="289">
                  <c:v>68.549372162633802</c:v>
                </c:pt>
                <c:pt idx="290">
                  <c:v>68.618026663852504</c:v>
                </c:pt>
                <c:pt idx="291">
                  <c:v>68.688737883146302</c:v>
                </c:pt>
                <c:pt idx="292">
                  <c:v>68.759214657173203</c:v>
                </c:pt>
                <c:pt idx="293">
                  <c:v>68.827195823255295</c:v>
                </c:pt>
                <c:pt idx="294">
                  <c:v>68.897214547348796</c:v>
                </c:pt>
                <c:pt idx="295">
                  <c:v>68.964738719526395</c:v>
                </c:pt>
                <c:pt idx="296">
                  <c:v>69.034286249899594</c:v>
                </c:pt>
                <c:pt idx="297">
                  <c:v>69.103604877959398</c:v>
                </c:pt>
                <c:pt idx="298">
                  <c:v>69.168245076380003</c:v>
                </c:pt>
                <c:pt idx="299">
                  <c:v>69.2371237618962</c:v>
                </c:pt>
                <c:pt idx="300">
                  <c:v>69.303565630073393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AC-4FA0-B9CC-6CC42BB45721}"/>
            </c:ext>
          </c:extLst>
        </c:ser>
        <c:ser>
          <c:idx val="1"/>
          <c:order val="1"/>
          <c:tx>
            <c:strRef>
              <c:f>STE_CEA_02!$F$8:$F$9</c:f>
              <c:strCache>
                <c:ptCount val="2"/>
                <c:pt idx="0">
                  <c:v>C mass of forest debris</c:v>
                </c:pt>
                <c:pt idx="1">
                  <c:v>tC/ha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STE_CEA_02!$A$12:$A$313</c:f>
              <c:numCache>
                <c:formatCode>General</c:formatCode>
                <c:ptCount val="302"/>
                <c:pt idx="0">
                  <c:v>2015</c:v>
                </c:pt>
                <c:pt idx="1">
                  <c:v>2015</c:v>
                </c:pt>
                <c:pt idx="2">
                  <c:v>2015</c:v>
                </c:pt>
                <c:pt idx="3">
                  <c:v>2015</c:v>
                </c:pt>
                <c:pt idx="4">
                  <c:v>2015</c:v>
                </c:pt>
                <c:pt idx="5">
                  <c:v>2015</c:v>
                </c:pt>
                <c:pt idx="6">
                  <c:v>2015</c:v>
                </c:pt>
                <c:pt idx="7">
                  <c:v>2016</c:v>
                </c:pt>
                <c:pt idx="8">
                  <c:v>2016</c:v>
                </c:pt>
                <c:pt idx="9">
                  <c:v>2016</c:v>
                </c:pt>
                <c:pt idx="10">
                  <c:v>2016</c:v>
                </c:pt>
                <c:pt idx="11">
                  <c:v>2016</c:v>
                </c:pt>
                <c:pt idx="12">
                  <c:v>2016</c:v>
                </c:pt>
                <c:pt idx="13">
                  <c:v>2016</c:v>
                </c:pt>
                <c:pt idx="14">
                  <c:v>2016</c:v>
                </c:pt>
                <c:pt idx="15">
                  <c:v>2016</c:v>
                </c:pt>
                <c:pt idx="16">
                  <c:v>2016</c:v>
                </c:pt>
                <c:pt idx="17">
                  <c:v>2016</c:v>
                </c:pt>
                <c:pt idx="18">
                  <c:v>2016</c:v>
                </c:pt>
                <c:pt idx="19">
                  <c:v>2017</c:v>
                </c:pt>
                <c:pt idx="20">
                  <c:v>2017</c:v>
                </c:pt>
                <c:pt idx="21">
                  <c:v>2017</c:v>
                </c:pt>
                <c:pt idx="22">
                  <c:v>2017</c:v>
                </c:pt>
                <c:pt idx="23">
                  <c:v>2017</c:v>
                </c:pt>
                <c:pt idx="24">
                  <c:v>2017</c:v>
                </c:pt>
                <c:pt idx="25">
                  <c:v>2017</c:v>
                </c:pt>
                <c:pt idx="26">
                  <c:v>2017</c:v>
                </c:pt>
                <c:pt idx="27">
                  <c:v>2017</c:v>
                </c:pt>
                <c:pt idx="28">
                  <c:v>2017</c:v>
                </c:pt>
                <c:pt idx="29">
                  <c:v>2017</c:v>
                </c:pt>
                <c:pt idx="30">
                  <c:v>2017</c:v>
                </c:pt>
                <c:pt idx="31">
                  <c:v>2018</c:v>
                </c:pt>
                <c:pt idx="32">
                  <c:v>2018</c:v>
                </c:pt>
                <c:pt idx="33">
                  <c:v>2018</c:v>
                </c:pt>
                <c:pt idx="34">
                  <c:v>2018</c:v>
                </c:pt>
                <c:pt idx="35">
                  <c:v>2018</c:v>
                </c:pt>
                <c:pt idx="36">
                  <c:v>2018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2018</c:v>
                </c:pt>
                <c:pt idx="42">
                  <c:v>2018</c:v>
                </c:pt>
                <c:pt idx="43">
                  <c:v>2019</c:v>
                </c:pt>
                <c:pt idx="44">
                  <c:v>2019</c:v>
                </c:pt>
                <c:pt idx="45">
                  <c:v>2019</c:v>
                </c:pt>
                <c:pt idx="46">
                  <c:v>2019</c:v>
                </c:pt>
                <c:pt idx="47">
                  <c:v>2019</c:v>
                </c:pt>
                <c:pt idx="48">
                  <c:v>2019</c:v>
                </c:pt>
                <c:pt idx="49">
                  <c:v>2019</c:v>
                </c:pt>
                <c:pt idx="50">
                  <c:v>2019</c:v>
                </c:pt>
                <c:pt idx="51">
                  <c:v>2019</c:v>
                </c:pt>
                <c:pt idx="52">
                  <c:v>2019</c:v>
                </c:pt>
                <c:pt idx="53">
                  <c:v>2019</c:v>
                </c:pt>
                <c:pt idx="54">
                  <c:v>2019</c:v>
                </c:pt>
                <c:pt idx="55">
                  <c:v>2020</c:v>
                </c:pt>
                <c:pt idx="56">
                  <c:v>2020</c:v>
                </c:pt>
                <c:pt idx="57">
                  <c:v>2020</c:v>
                </c:pt>
                <c:pt idx="58">
                  <c:v>2020</c:v>
                </c:pt>
                <c:pt idx="59">
                  <c:v>2020</c:v>
                </c:pt>
                <c:pt idx="60">
                  <c:v>2020</c:v>
                </c:pt>
                <c:pt idx="61">
                  <c:v>2020</c:v>
                </c:pt>
                <c:pt idx="62">
                  <c:v>2020</c:v>
                </c:pt>
                <c:pt idx="63">
                  <c:v>2020</c:v>
                </c:pt>
                <c:pt idx="64">
                  <c:v>2020</c:v>
                </c:pt>
                <c:pt idx="65">
                  <c:v>2020</c:v>
                </c:pt>
                <c:pt idx="66">
                  <c:v>2020</c:v>
                </c:pt>
                <c:pt idx="67">
                  <c:v>2021</c:v>
                </c:pt>
                <c:pt idx="68">
                  <c:v>2021</c:v>
                </c:pt>
                <c:pt idx="69">
                  <c:v>2021</c:v>
                </c:pt>
                <c:pt idx="70">
                  <c:v>2021</c:v>
                </c:pt>
                <c:pt idx="71">
                  <c:v>2021</c:v>
                </c:pt>
                <c:pt idx="72">
                  <c:v>2021</c:v>
                </c:pt>
                <c:pt idx="73">
                  <c:v>2021</c:v>
                </c:pt>
                <c:pt idx="74">
                  <c:v>2021</c:v>
                </c:pt>
                <c:pt idx="75">
                  <c:v>2021</c:v>
                </c:pt>
                <c:pt idx="76">
                  <c:v>2021</c:v>
                </c:pt>
                <c:pt idx="77">
                  <c:v>2021</c:v>
                </c:pt>
                <c:pt idx="78">
                  <c:v>2021</c:v>
                </c:pt>
                <c:pt idx="79">
                  <c:v>2022</c:v>
                </c:pt>
                <c:pt idx="80">
                  <c:v>2022</c:v>
                </c:pt>
                <c:pt idx="81">
                  <c:v>2022</c:v>
                </c:pt>
                <c:pt idx="82">
                  <c:v>2022</c:v>
                </c:pt>
                <c:pt idx="83">
                  <c:v>2022</c:v>
                </c:pt>
                <c:pt idx="84">
                  <c:v>2022</c:v>
                </c:pt>
                <c:pt idx="85">
                  <c:v>2022</c:v>
                </c:pt>
                <c:pt idx="86">
                  <c:v>2022</c:v>
                </c:pt>
                <c:pt idx="87">
                  <c:v>2022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2023</c:v>
                </c:pt>
                <c:pt idx="92">
                  <c:v>2023</c:v>
                </c:pt>
                <c:pt idx="93">
                  <c:v>2023</c:v>
                </c:pt>
                <c:pt idx="94">
                  <c:v>2023</c:v>
                </c:pt>
                <c:pt idx="95">
                  <c:v>2023</c:v>
                </c:pt>
                <c:pt idx="96">
                  <c:v>2023</c:v>
                </c:pt>
                <c:pt idx="97">
                  <c:v>2023</c:v>
                </c:pt>
                <c:pt idx="98">
                  <c:v>2023</c:v>
                </c:pt>
                <c:pt idx="99">
                  <c:v>2023</c:v>
                </c:pt>
                <c:pt idx="100">
                  <c:v>2023</c:v>
                </c:pt>
                <c:pt idx="101">
                  <c:v>2023</c:v>
                </c:pt>
                <c:pt idx="102">
                  <c:v>2023</c:v>
                </c:pt>
                <c:pt idx="103">
                  <c:v>2024</c:v>
                </c:pt>
                <c:pt idx="104">
                  <c:v>2024</c:v>
                </c:pt>
                <c:pt idx="105">
                  <c:v>2024</c:v>
                </c:pt>
                <c:pt idx="106">
                  <c:v>2024</c:v>
                </c:pt>
                <c:pt idx="107">
                  <c:v>2024</c:v>
                </c:pt>
                <c:pt idx="108">
                  <c:v>2024</c:v>
                </c:pt>
                <c:pt idx="109">
                  <c:v>2024</c:v>
                </c:pt>
                <c:pt idx="110">
                  <c:v>2024</c:v>
                </c:pt>
                <c:pt idx="111">
                  <c:v>2024</c:v>
                </c:pt>
                <c:pt idx="112">
                  <c:v>2024</c:v>
                </c:pt>
                <c:pt idx="113">
                  <c:v>2024</c:v>
                </c:pt>
                <c:pt idx="114">
                  <c:v>2024</c:v>
                </c:pt>
                <c:pt idx="115">
                  <c:v>2025</c:v>
                </c:pt>
                <c:pt idx="116">
                  <c:v>2025</c:v>
                </c:pt>
                <c:pt idx="117">
                  <c:v>2025</c:v>
                </c:pt>
                <c:pt idx="118">
                  <c:v>2025</c:v>
                </c:pt>
                <c:pt idx="119">
                  <c:v>2025</c:v>
                </c:pt>
                <c:pt idx="120">
                  <c:v>2025</c:v>
                </c:pt>
                <c:pt idx="121">
                  <c:v>2025</c:v>
                </c:pt>
                <c:pt idx="122">
                  <c:v>2025</c:v>
                </c:pt>
                <c:pt idx="123">
                  <c:v>2025</c:v>
                </c:pt>
                <c:pt idx="124">
                  <c:v>2025</c:v>
                </c:pt>
                <c:pt idx="125">
                  <c:v>2025</c:v>
                </c:pt>
                <c:pt idx="126">
                  <c:v>2025</c:v>
                </c:pt>
                <c:pt idx="127">
                  <c:v>2026</c:v>
                </c:pt>
                <c:pt idx="128">
                  <c:v>2026</c:v>
                </c:pt>
                <c:pt idx="129">
                  <c:v>2026</c:v>
                </c:pt>
                <c:pt idx="130">
                  <c:v>2026</c:v>
                </c:pt>
                <c:pt idx="131">
                  <c:v>2026</c:v>
                </c:pt>
                <c:pt idx="132">
                  <c:v>2026</c:v>
                </c:pt>
                <c:pt idx="133">
                  <c:v>2026</c:v>
                </c:pt>
                <c:pt idx="134">
                  <c:v>2026</c:v>
                </c:pt>
                <c:pt idx="135">
                  <c:v>2026</c:v>
                </c:pt>
                <c:pt idx="136">
                  <c:v>2026</c:v>
                </c:pt>
                <c:pt idx="137">
                  <c:v>2026</c:v>
                </c:pt>
                <c:pt idx="138">
                  <c:v>2026</c:v>
                </c:pt>
                <c:pt idx="139">
                  <c:v>2027</c:v>
                </c:pt>
                <c:pt idx="140">
                  <c:v>2027</c:v>
                </c:pt>
                <c:pt idx="141">
                  <c:v>2027</c:v>
                </c:pt>
                <c:pt idx="142">
                  <c:v>2027</c:v>
                </c:pt>
                <c:pt idx="143">
                  <c:v>2027</c:v>
                </c:pt>
                <c:pt idx="144">
                  <c:v>2027</c:v>
                </c:pt>
                <c:pt idx="145">
                  <c:v>2027</c:v>
                </c:pt>
                <c:pt idx="146">
                  <c:v>2027</c:v>
                </c:pt>
                <c:pt idx="147">
                  <c:v>2027</c:v>
                </c:pt>
                <c:pt idx="148">
                  <c:v>2027</c:v>
                </c:pt>
                <c:pt idx="149">
                  <c:v>2027</c:v>
                </c:pt>
                <c:pt idx="150">
                  <c:v>2027</c:v>
                </c:pt>
                <c:pt idx="151">
                  <c:v>2028</c:v>
                </c:pt>
                <c:pt idx="152">
                  <c:v>2028</c:v>
                </c:pt>
                <c:pt idx="153">
                  <c:v>2028</c:v>
                </c:pt>
                <c:pt idx="154">
                  <c:v>2028</c:v>
                </c:pt>
                <c:pt idx="155">
                  <c:v>2028</c:v>
                </c:pt>
                <c:pt idx="156">
                  <c:v>2028</c:v>
                </c:pt>
                <c:pt idx="157">
                  <c:v>2028</c:v>
                </c:pt>
                <c:pt idx="158">
                  <c:v>2028</c:v>
                </c:pt>
                <c:pt idx="159">
                  <c:v>2028</c:v>
                </c:pt>
                <c:pt idx="160">
                  <c:v>2028</c:v>
                </c:pt>
                <c:pt idx="161">
                  <c:v>2028</c:v>
                </c:pt>
                <c:pt idx="162">
                  <c:v>2028</c:v>
                </c:pt>
                <c:pt idx="163">
                  <c:v>2029</c:v>
                </c:pt>
                <c:pt idx="164">
                  <c:v>2029</c:v>
                </c:pt>
                <c:pt idx="165">
                  <c:v>2029</c:v>
                </c:pt>
                <c:pt idx="166">
                  <c:v>2029</c:v>
                </c:pt>
                <c:pt idx="167">
                  <c:v>2029</c:v>
                </c:pt>
                <c:pt idx="168">
                  <c:v>2029</c:v>
                </c:pt>
                <c:pt idx="169">
                  <c:v>2029</c:v>
                </c:pt>
                <c:pt idx="170">
                  <c:v>2029</c:v>
                </c:pt>
                <c:pt idx="171">
                  <c:v>2029</c:v>
                </c:pt>
                <c:pt idx="172">
                  <c:v>2029</c:v>
                </c:pt>
                <c:pt idx="173">
                  <c:v>2029</c:v>
                </c:pt>
                <c:pt idx="174">
                  <c:v>2029</c:v>
                </c:pt>
                <c:pt idx="175">
                  <c:v>2030</c:v>
                </c:pt>
                <c:pt idx="176">
                  <c:v>2030</c:v>
                </c:pt>
                <c:pt idx="177">
                  <c:v>2030</c:v>
                </c:pt>
                <c:pt idx="178">
                  <c:v>2030</c:v>
                </c:pt>
                <c:pt idx="179">
                  <c:v>2030</c:v>
                </c:pt>
                <c:pt idx="180">
                  <c:v>2030</c:v>
                </c:pt>
                <c:pt idx="181">
                  <c:v>2030</c:v>
                </c:pt>
                <c:pt idx="182">
                  <c:v>2030</c:v>
                </c:pt>
                <c:pt idx="183">
                  <c:v>2030</c:v>
                </c:pt>
                <c:pt idx="184">
                  <c:v>2030</c:v>
                </c:pt>
                <c:pt idx="185">
                  <c:v>2030</c:v>
                </c:pt>
                <c:pt idx="186">
                  <c:v>2030</c:v>
                </c:pt>
                <c:pt idx="187">
                  <c:v>2031</c:v>
                </c:pt>
                <c:pt idx="188">
                  <c:v>2031</c:v>
                </c:pt>
                <c:pt idx="189">
                  <c:v>2031</c:v>
                </c:pt>
                <c:pt idx="190">
                  <c:v>2031</c:v>
                </c:pt>
                <c:pt idx="191">
                  <c:v>2031</c:v>
                </c:pt>
                <c:pt idx="192">
                  <c:v>2031</c:v>
                </c:pt>
                <c:pt idx="193">
                  <c:v>2031</c:v>
                </c:pt>
                <c:pt idx="194">
                  <c:v>2031</c:v>
                </c:pt>
                <c:pt idx="195">
                  <c:v>2031</c:v>
                </c:pt>
                <c:pt idx="196">
                  <c:v>2031</c:v>
                </c:pt>
                <c:pt idx="197">
                  <c:v>2031</c:v>
                </c:pt>
                <c:pt idx="198">
                  <c:v>2031</c:v>
                </c:pt>
                <c:pt idx="199">
                  <c:v>2032</c:v>
                </c:pt>
                <c:pt idx="200">
                  <c:v>2032</c:v>
                </c:pt>
                <c:pt idx="201">
                  <c:v>2032</c:v>
                </c:pt>
                <c:pt idx="202">
                  <c:v>2032</c:v>
                </c:pt>
                <c:pt idx="203">
                  <c:v>2032</c:v>
                </c:pt>
                <c:pt idx="204">
                  <c:v>2032</c:v>
                </c:pt>
                <c:pt idx="205">
                  <c:v>2032</c:v>
                </c:pt>
                <c:pt idx="206">
                  <c:v>2032</c:v>
                </c:pt>
                <c:pt idx="207">
                  <c:v>2032</c:v>
                </c:pt>
                <c:pt idx="208">
                  <c:v>2032</c:v>
                </c:pt>
                <c:pt idx="209">
                  <c:v>2032</c:v>
                </c:pt>
                <c:pt idx="210">
                  <c:v>2032</c:v>
                </c:pt>
                <c:pt idx="211">
                  <c:v>2033</c:v>
                </c:pt>
                <c:pt idx="212">
                  <c:v>2033</c:v>
                </c:pt>
                <c:pt idx="213">
                  <c:v>2033</c:v>
                </c:pt>
                <c:pt idx="214">
                  <c:v>2033</c:v>
                </c:pt>
                <c:pt idx="215">
                  <c:v>2033</c:v>
                </c:pt>
                <c:pt idx="216">
                  <c:v>2033</c:v>
                </c:pt>
                <c:pt idx="217">
                  <c:v>2033</c:v>
                </c:pt>
                <c:pt idx="218">
                  <c:v>2033</c:v>
                </c:pt>
                <c:pt idx="219">
                  <c:v>2033</c:v>
                </c:pt>
                <c:pt idx="220">
                  <c:v>2033</c:v>
                </c:pt>
                <c:pt idx="221">
                  <c:v>2033</c:v>
                </c:pt>
                <c:pt idx="222">
                  <c:v>2033</c:v>
                </c:pt>
                <c:pt idx="223">
                  <c:v>2034</c:v>
                </c:pt>
                <c:pt idx="224">
                  <c:v>2034</c:v>
                </c:pt>
                <c:pt idx="225">
                  <c:v>2034</c:v>
                </c:pt>
                <c:pt idx="226">
                  <c:v>2034</c:v>
                </c:pt>
                <c:pt idx="227">
                  <c:v>2034</c:v>
                </c:pt>
                <c:pt idx="228">
                  <c:v>2034</c:v>
                </c:pt>
                <c:pt idx="229">
                  <c:v>2034</c:v>
                </c:pt>
                <c:pt idx="230">
                  <c:v>2034</c:v>
                </c:pt>
                <c:pt idx="231">
                  <c:v>2034</c:v>
                </c:pt>
                <c:pt idx="232">
                  <c:v>2034</c:v>
                </c:pt>
                <c:pt idx="233">
                  <c:v>2034</c:v>
                </c:pt>
                <c:pt idx="234">
                  <c:v>2034</c:v>
                </c:pt>
                <c:pt idx="235">
                  <c:v>2035</c:v>
                </c:pt>
                <c:pt idx="236">
                  <c:v>2035</c:v>
                </c:pt>
                <c:pt idx="237">
                  <c:v>2035</c:v>
                </c:pt>
                <c:pt idx="238">
                  <c:v>2035</c:v>
                </c:pt>
                <c:pt idx="239">
                  <c:v>2035</c:v>
                </c:pt>
                <c:pt idx="240">
                  <c:v>2035</c:v>
                </c:pt>
                <c:pt idx="241">
                  <c:v>2035</c:v>
                </c:pt>
                <c:pt idx="242">
                  <c:v>2035</c:v>
                </c:pt>
                <c:pt idx="243">
                  <c:v>2035</c:v>
                </c:pt>
                <c:pt idx="244">
                  <c:v>2035</c:v>
                </c:pt>
                <c:pt idx="245">
                  <c:v>2035</c:v>
                </c:pt>
                <c:pt idx="246">
                  <c:v>2035</c:v>
                </c:pt>
                <c:pt idx="247">
                  <c:v>2036</c:v>
                </c:pt>
                <c:pt idx="248">
                  <c:v>2036</c:v>
                </c:pt>
                <c:pt idx="249">
                  <c:v>2036</c:v>
                </c:pt>
                <c:pt idx="250">
                  <c:v>2036</c:v>
                </c:pt>
                <c:pt idx="251">
                  <c:v>2036</c:v>
                </c:pt>
                <c:pt idx="252">
                  <c:v>2036</c:v>
                </c:pt>
                <c:pt idx="253">
                  <c:v>2036</c:v>
                </c:pt>
                <c:pt idx="254">
                  <c:v>2036</c:v>
                </c:pt>
                <c:pt idx="255">
                  <c:v>2036</c:v>
                </c:pt>
                <c:pt idx="256">
                  <c:v>2036</c:v>
                </c:pt>
                <c:pt idx="257">
                  <c:v>2036</c:v>
                </c:pt>
                <c:pt idx="258">
                  <c:v>2036</c:v>
                </c:pt>
                <c:pt idx="259">
                  <c:v>2037</c:v>
                </c:pt>
                <c:pt idx="260">
                  <c:v>2037</c:v>
                </c:pt>
                <c:pt idx="261">
                  <c:v>2037</c:v>
                </c:pt>
                <c:pt idx="262">
                  <c:v>2037</c:v>
                </c:pt>
                <c:pt idx="263">
                  <c:v>2037</c:v>
                </c:pt>
                <c:pt idx="264">
                  <c:v>2037</c:v>
                </c:pt>
                <c:pt idx="265">
                  <c:v>2037</c:v>
                </c:pt>
                <c:pt idx="266">
                  <c:v>2037</c:v>
                </c:pt>
                <c:pt idx="267">
                  <c:v>2037</c:v>
                </c:pt>
                <c:pt idx="268">
                  <c:v>2037</c:v>
                </c:pt>
                <c:pt idx="269">
                  <c:v>2037</c:v>
                </c:pt>
                <c:pt idx="270">
                  <c:v>2037</c:v>
                </c:pt>
                <c:pt idx="271">
                  <c:v>2038</c:v>
                </c:pt>
                <c:pt idx="272">
                  <c:v>2038</c:v>
                </c:pt>
                <c:pt idx="273">
                  <c:v>2038</c:v>
                </c:pt>
                <c:pt idx="274">
                  <c:v>2038</c:v>
                </c:pt>
                <c:pt idx="275">
                  <c:v>2038</c:v>
                </c:pt>
                <c:pt idx="276">
                  <c:v>2038</c:v>
                </c:pt>
                <c:pt idx="277">
                  <c:v>2038</c:v>
                </c:pt>
                <c:pt idx="278">
                  <c:v>2038</c:v>
                </c:pt>
                <c:pt idx="279">
                  <c:v>2038</c:v>
                </c:pt>
                <c:pt idx="280">
                  <c:v>2038</c:v>
                </c:pt>
                <c:pt idx="281">
                  <c:v>2038</c:v>
                </c:pt>
                <c:pt idx="282">
                  <c:v>2038</c:v>
                </c:pt>
                <c:pt idx="283">
                  <c:v>2039</c:v>
                </c:pt>
                <c:pt idx="284">
                  <c:v>2039</c:v>
                </c:pt>
                <c:pt idx="285">
                  <c:v>2039</c:v>
                </c:pt>
                <c:pt idx="286">
                  <c:v>2039</c:v>
                </c:pt>
                <c:pt idx="287">
                  <c:v>2039</c:v>
                </c:pt>
                <c:pt idx="288">
                  <c:v>2039</c:v>
                </c:pt>
                <c:pt idx="289">
                  <c:v>2039</c:v>
                </c:pt>
                <c:pt idx="290">
                  <c:v>2039</c:v>
                </c:pt>
                <c:pt idx="291">
                  <c:v>2039</c:v>
                </c:pt>
                <c:pt idx="292">
                  <c:v>2039</c:v>
                </c:pt>
                <c:pt idx="293">
                  <c:v>2039</c:v>
                </c:pt>
                <c:pt idx="294">
                  <c:v>2039</c:v>
                </c:pt>
                <c:pt idx="295">
                  <c:v>2040</c:v>
                </c:pt>
                <c:pt idx="296">
                  <c:v>2040</c:v>
                </c:pt>
                <c:pt idx="297">
                  <c:v>2040</c:v>
                </c:pt>
                <c:pt idx="298">
                  <c:v>2040</c:v>
                </c:pt>
              </c:numCache>
            </c:numRef>
          </c:cat>
          <c:val>
            <c:numRef>
              <c:f>STE_CEA_02!$F$10:$F$311</c:f>
              <c:numCache>
                <c:formatCode>General</c:formatCode>
                <c:ptCount val="302"/>
                <c:pt idx="0">
                  <c:v>0</c:v>
                </c:pt>
                <c:pt idx="1">
                  <c:v>3.6864448682189998E-3</c:v>
                </c:pt>
                <c:pt idx="2">
                  <c:v>7.2950376546199996E-3</c:v>
                </c:pt>
                <c:pt idx="3">
                  <c:v>1.0920921279849E-2</c:v>
                </c:pt>
                <c:pt idx="4">
                  <c:v>1.4522992889489999E-2</c:v>
                </c:pt>
                <c:pt idx="5">
                  <c:v>1.7912116847265999E-2</c:v>
                </c:pt>
                <c:pt idx="6">
                  <c:v>2.1266840985621999E-2</c:v>
                </c:pt>
                <c:pt idx="7">
                  <c:v>2.4952910000441E-2</c:v>
                </c:pt>
                <c:pt idx="8">
                  <c:v>3.0119986835275999E-2</c:v>
                </c:pt>
                <c:pt idx="9">
                  <c:v>3.8039505182214002E-2</c:v>
                </c:pt>
                <c:pt idx="10">
                  <c:v>4.9225862417250001E-2</c:v>
                </c:pt>
                <c:pt idx="11">
                  <c:v>6.7059773271323994E-2</c:v>
                </c:pt>
                <c:pt idx="12">
                  <c:v>9.1951213499471995E-2</c:v>
                </c:pt>
                <c:pt idx="13">
                  <c:v>0.127039647158117</c:v>
                </c:pt>
                <c:pt idx="14">
                  <c:v>0.17174437427429901</c:v>
                </c:pt>
                <c:pt idx="15">
                  <c:v>0.228881673208499</c:v>
                </c:pt>
                <c:pt idx="16">
                  <c:v>0.29579843709464498</c:v>
                </c:pt>
                <c:pt idx="17">
                  <c:v>0.367082728576407</c:v>
                </c:pt>
                <c:pt idx="18">
                  <c:v>0.44538683832717002</c:v>
                </c:pt>
                <c:pt idx="19">
                  <c:v>0.52727348212858105</c:v>
                </c:pt>
                <c:pt idx="20">
                  <c:v>0.61612866594016802</c:v>
                </c:pt>
                <c:pt idx="21">
                  <c:v>0.70958279272714497</c:v>
                </c:pt>
                <c:pt idx="22">
                  <c:v>0.79799059914791304</c:v>
                </c:pt>
                <c:pt idx="23">
                  <c:v>0.90083532161644497</c:v>
                </c:pt>
                <c:pt idx="24">
                  <c:v>1.00468490108344</c:v>
                </c:pt>
                <c:pt idx="25">
                  <c:v>1.1133574739524501</c:v>
                </c:pt>
                <c:pt idx="26">
                  <c:v>1.2252906871900899</c:v>
                </c:pt>
                <c:pt idx="27">
                  <c:v>1.3414563336118299</c:v>
                </c:pt>
                <c:pt idx="28">
                  <c:v>1.4618144237372199</c:v>
                </c:pt>
                <c:pt idx="29">
                  <c:v>1.57788769695474</c:v>
                </c:pt>
                <c:pt idx="30">
                  <c:v>1.68740951171423</c:v>
                </c:pt>
                <c:pt idx="31">
                  <c:v>1.7937584985232</c:v>
                </c:pt>
                <c:pt idx="32">
                  <c:v>1.9039829116731199</c:v>
                </c:pt>
                <c:pt idx="33">
                  <c:v>2.0154313242046098</c:v>
                </c:pt>
                <c:pt idx="34">
                  <c:v>2.1173885637938499</c:v>
                </c:pt>
                <c:pt idx="35">
                  <c:v>2.23354437351168</c:v>
                </c:pt>
                <c:pt idx="36">
                  <c:v>2.3504901120669199</c:v>
                </c:pt>
                <c:pt idx="37">
                  <c:v>2.4716301131708498</c:v>
                </c:pt>
                <c:pt idx="38">
                  <c:v>2.6018656391505499</c:v>
                </c:pt>
                <c:pt idx="39">
                  <c:v>2.74041160336124</c:v>
                </c:pt>
                <c:pt idx="40">
                  <c:v>2.8869942829131698</c:v>
                </c:pt>
                <c:pt idx="41">
                  <c:v>3.0257559948605501</c:v>
                </c:pt>
                <c:pt idx="42">
                  <c:v>3.1472364329413298</c:v>
                </c:pt>
                <c:pt idx="43">
                  <c:v>3.2626573177532201</c:v>
                </c:pt>
                <c:pt idx="44">
                  <c:v>3.3806721298769902</c:v>
                </c:pt>
                <c:pt idx="45">
                  <c:v>3.4990398610362301</c:v>
                </c:pt>
                <c:pt idx="46">
                  <c:v>3.6067545161130199</c:v>
                </c:pt>
                <c:pt idx="47">
                  <c:v>3.7292962806782199</c:v>
                </c:pt>
                <c:pt idx="48">
                  <c:v>3.8528551186212301</c:v>
                </c:pt>
                <c:pt idx="49">
                  <c:v>3.9787401533647202</c:v>
                </c:pt>
                <c:pt idx="50">
                  <c:v>4.1183094617787699</c:v>
                </c:pt>
                <c:pt idx="51">
                  <c:v>4.26449717445439</c:v>
                </c:pt>
                <c:pt idx="52">
                  <c:v>4.4183234342482596</c:v>
                </c:pt>
                <c:pt idx="53">
                  <c:v>4.5610790132562</c:v>
                </c:pt>
                <c:pt idx="54">
                  <c:v>4.6742859950476898</c:v>
                </c:pt>
                <c:pt idx="55">
                  <c:v>4.7784349643652897</c:v>
                </c:pt>
                <c:pt idx="56">
                  <c:v>4.8828119832139301</c:v>
                </c:pt>
                <c:pt idx="57">
                  <c:v>4.9863004494580396</c:v>
                </c:pt>
                <c:pt idx="58">
                  <c:v>5.08318148047249</c:v>
                </c:pt>
                <c:pt idx="59">
                  <c:v>5.1914457851633404</c:v>
                </c:pt>
                <c:pt idx="60">
                  <c:v>5.3026778702657698</c:v>
                </c:pt>
                <c:pt idx="61">
                  <c:v>5.4177282798179203</c:v>
                </c:pt>
                <c:pt idx="62">
                  <c:v>5.5502860937837699</c:v>
                </c:pt>
                <c:pt idx="63">
                  <c:v>5.69319497975897</c:v>
                </c:pt>
                <c:pt idx="64">
                  <c:v>5.8452705983812896</c:v>
                </c:pt>
                <c:pt idx="65">
                  <c:v>5.9827953869982897</c:v>
                </c:pt>
                <c:pt idx="66">
                  <c:v>6.0851622674641801</c:v>
                </c:pt>
                <c:pt idx="67">
                  <c:v>6.1753523840695603</c:v>
                </c:pt>
                <c:pt idx="68">
                  <c:v>6.2648942990542897</c:v>
                </c:pt>
                <c:pt idx="69">
                  <c:v>6.3536024058849296</c:v>
                </c:pt>
                <c:pt idx="70">
                  <c:v>6.4340970461799598</c:v>
                </c:pt>
                <c:pt idx="71">
                  <c:v>6.5293297387362603</c:v>
                </c:pt>
                <c:pt idx="72">
                  <c:v>6.6299292006245798</c:v>
                </c:pt>
                <c:pt idx="73">
                  <c:v>6.7340549766361697</c:v>
                </c:pt>
                <c:pt idx="74">
                  <c:v>6.8613146381619696</c:v>
                </c:pt>
                <c:pt idx="75">
                  <c:v>6.9992406276244798</c:v>
                </c:pt>
                <c:pt idx="76">
                  <c:v>7.1473294956540601</c:v>
                </c:pt>
                <c:pt idx="77">
                  <c:v>7.2792119398753101</c:v>
                </c:pt>
                <c:pt idx="78">
                  <c:v>7.36705961262152</c:v>
                </c:pt>
                <c:pt idx="79">
                  <c:v>7.4416424668111398</c:v>
                </c:pt>
                <c:pt idx="80">
                  <c:v>7.5147015605023801</c:v>
                </c:pt>
                <c:pt idx="81">
                  <c:v>7.5871594718512396</c:v>
                </c:pt>
                <c:pt idx="82">
                  <c:v>7.6533870452062196</c:v>
                </c:pt>
                <c:pt idx="83">
                  <c:v>7.73423005770334</c:v>
                </c:pt>
                <c:pt idx="84">
                  <c:v>7.8228009433998702</c:v>
                </c:pt>
                <c:pt idx="85">
                  <c:v>7.9146655217240403</c:v>
                </c:pt>
                <c:pt idx="86">
                  <c:v>8.0348055870123307</c:v>
                </c:pt>
                <c:pt idx="87">
                  <c:v>8.1669208791115597</c:v>
                </c:pt>
                <c:pt idx="88">
                  <c:v>8.3122610062528803</c:v>
                </c:pt>
                <c:pt idx="89">
                  <c:v>8.4409199108579802</c:v>
                </c:pt>
                <c:pt idx="90">
                  <c:v>8.5177044784585192</c:v>
                </c:pt>
                <c:pt idx="91">
                  <c:v>8.5801422719661193</c:v>
                </c:pt>
                <c:pt idx="92">
                  <c:v>8.6402690937145898</c:v>
                </c:pt>
                <c:pt idx="93">
                  <c:v>8.6999334744551398</c:v>
                </c:pt>
                <c:pt idx="94">
                  <c:v>8.7549144878542808</c:v>
                </c:pt>
                <c:pt idx="95">
                  <c:v>8.8244800857221506</c:v>
                </c:pt>
                <c:pt idx="96">
                  <c:v>8.9037439817539603</c:v>
                </c:pt>
                <c:pt idx="97">
                  <c:v>8.9860899665224494</c:v>
                </c:pt>
                <c:pt idx="98">
                  <c:v>9.1012172629334493</c:v>
                </c:pt>
                <c:pt idx="99">
                  <c:v>9.2291850819608801</c:v>
                </c:pt>
                <c:pt idx="100">
                  <c:v>9.3718212483883896</c:v>
                </c:pt>
                <c:pt idx="101">
                  <c:v>9.4964115394506692</c:v>
                </c:pt>
                <c:pt idx="102">
                  <c:v>9.5621278338023092</c:v>
                </c:pt>
                <c:pt idx="103">
                  <c:v>9.6126251432507104</c:v>
                </c:pt>
                <c:pt idx="104">
                  <c:v>9.6601314561638105</c:v>
                </c:pt>
                <c:pt idx="105">
                  <c:v>9.7073575663054008</c:v>
                </c:pt>
                <c:pt idx="106">
                  <c:v>9.7535288935725699</c:v>
                </c:pt>
                <c:pt idx="107">
                  <c:v>9.8125276645334107</c:v>
                </c:pt>
                <c:pt idx="108">
                  <c:v>9.8823905303093902</c:v>
                </c:pt>
                <c:pt idx="109">
                  <c:v>9.9572795188188596</c:v>
                </c:pt>
                <c:pt idx="110">
                  <c:v>10.0672260188087</c:v>
                </c:pt>
                <c:pt idx="111">
                  <c:v>10.191319417090501</c:v>
                </c:pt>
                <c:pt idx="112">
                  <c:v>10.3304104034479</c:v>
                </c:pt>
                <c:pt idx="113">
                  <c:v>10.4486683459434</c:v>
                </c:pt>
                <c:pt idx="114">
                  <c:v>10.5040680476085</c:v>
                </c:pt>
                <c:pt idx="115">
                  <c:v>10.5436650586781</c:v>
                </c:pt>
                <c:pt idx="116">
                  <c:v>10.579837991971001</c:v>
                </c:pt>
                <c:pt idx="117">
                  <c:v>10.6159801675119</c:v>
                </c:pt>
                <c:pt idx="118">
                  <c:v>10.6508380011011</c:v>
                </c:pt>
                <c:pt idx="119">
                  <c:v>10.7000359828731</c:v>
                </c:pt>
                <c:pt idx="120">
                  <c:v>10.7616873237218</c:v>
                </c:pt>
                <c:pt idx="121">
                  <c:v>10.8283359704148</c:v>
                </c:pt>
                <c:pt idx="122">
                  <c:v>10.933540613068001</c:v>
                </c:pt>
                <c:pt idx="123">
                  <c:v>11.053603111959699</c:v>
                </c:pt>
                <c:pt idx="124">
                  <c:v>11.1898199144321</c:v>
                </c:pt>
                <c:pt idx="125">
                  <c:v>11.3038909810774</c:v>
                </c:pt>
                <c:pt idx="126">
                  <c:v>11.3494025821468</c:v>
                </c:pt>
                <c:pt idx="127">
                  <c:v>11.378159377352601</c:v>
                </c:pt>
                <c:pt idx="128">
                  <c:v>11.402590726607199</c:v>
                </c:pt>
                <c:pt idx="129">
                  <c:v>11.4268168313098</c:v>
                </c:pt>
                <c:pt idx="130">
                  <c:v>11.4509188153345</c:v>
                </c:pt>
                <c:pt idx="131">
                  <c:v>11.488779909109599</c:v>
                </c:pt>
                <c:pt idx="132">
                  <c:v>11.5402931752007</c:v>
                </c:pt>
                <c:pt idx="133">
                  <c:v>11.5964069246864</c:v>
                </c:pt>
                <c:pt idx="134">
                  <c:v>11.693923715415901</c:v>
                </c:pt>
                <c:pt idx="135">
                  <c:v>11.806514782534499</c:v>
                </c:pt>
                <c:pt idx="136">
                  <c:v>11.9363219370846</c:v>
                </c:pt>
                <c:pt idx="137">
                  <c:v>12.043528950096301</c:v>
                </c:pt>
                <c:pt idx="138">
                  <c:v>12.0778405011866</c:v>
                </c:pt>
                <c:pt idx="139">
                  <c:v>12.0951884533956</c:v>
                </c:pt>
                <c:pt idx="140">
                  <c:v>12.107860979874101</c:v>
                </c:pt>
                <c:pt idx="141">
                  <c:v>12.1206427849762</c:v>
                </c:pt>
                <c:pt idx="142">
                  <c:v>12.1347870314925</c:v>
                </c:pt>
                <c:pt idx="143">
                  <c:v>12.1624791953172</c:v>
                </c:pt>
                <c:pt idx="144">
                  <c:v>12.2051941060161</c:v>
                </c:pt>
                <c:pt idx="145">
                  <c:v>12.252529051221099</c:v>
                </c:pt>
                <c:pt idx="146">
                  <c:v>12.343917028732299</c:v>
                </c:pt>
                <c:pt idx="147">
                  <c:v>12.4508945375854</c:v>
                </c:pt>
                <c:pt idx="148">
                  <c:v>12.5761206194558</c:v>
                </c:pt>
                <c:pt idx="149">
                  <c:v>12.678328813436201</c:v>
                </c:pt>
                <c:pt idx="150">
                  <c:v>12.7040896230291</c:v>
                </c:pt>
                <c:pt idx="151">
                  <c:v>12.7126581560532</c:v>
                </c:pt>
                <c:pt idx="152">
                  <c:v>12.716243769129701</c:v>
                </c:pt>
                <c:pt idx="153">
                  <c:v>12.720158030811501</c:v>
                </c:pt>
                <c:pt idx="154">
                  <c:v>12.7271704409187</c:v>
                </c:pt>
                <c:pt idx="155">
                  <c:v>12.747605709480201</c:v>
                </c:pt>
                <c:pt idx="156">
                  <c:v>12.783450944290999</c:v>
                </c:pt>
                <c:pt idx="157">
                  <c:v>12.8258465243935</c:v>
                </c:pt>
                <c:pt idx="158">
                  <c:v>12.9129386132128</c:v>
                </c:pt>
                <c:pt idx="159">
                  <c:v>13.0164899379593</c:v>
                </c:pt>
                <c:pt idx="160">
                  <c:v>13.137894426345801</c:v>
                </c:pt>
                <c:pt idx="161">
                  <c:v>13.233397134703401</c:v>
                </c:pt>
                <c:pt idx="162">
                  <c:v>13.2518209555935</c:v>
                </c:pt>
                <c:pt idx="163">
                  <c:v>13.2532279352556</c:v>
                </c:pt>
                <c:pt idx="164">
                  <c:v>13.249578959169799</c:v>
                </c:pt>
                <c:pt idx="165">
                  <c:v>13.246512214473301</c:v>
                </c:pt>
                <c:pt idx="166">
                  <c:v>13.247169019257701</c:v>
                </c:pt>
                <c:pt idx="167">
                  <c:v>13.261338568309</c:v>
                </c:pt>
                <c:pt idx="168">
                  <c:v>13.291786809766601</c:v>
                </c:pt>
                <c:pt idx="169">
                  <c:v>13.328839745537399</c:v>
                </c:pt>
                <c:pt idx="170">
                  <c:v>13.4123663836169</c:v>
                </c:pt>
                <c:pt idx="171">
                  <c:v>13.512725876425</c:v>
                </c:pt>
                <c:pt idx="172">
                  <c:v>13.631614523209199</c:v>
                </c:pt>
                <c:pt idx="173">
                  <c:v>13.724165828467299</c:v>
                </c:pt>
                <c:pt idx="174">
                  <c:v>13.7371304211397</c:v>
                </c:pt>
                <c:pt idx="175">
                  <c:v>13.7328601917015</c:v>
                </c:pt>
                <c:pt idx="176">
                  <c:v>13.723298579913299</c:v>
                </c:pt>
                <c:pt idx="177">
                  <c:v>13.7144413165505</c:v>
                </c:pt>
                <c:pt idx="178">
                  <c:v>13.710048732133799</c:v>
                </c:pt>
                <c:pt idx="179">
                  <c:v>13.719094613311301</c:v>
                </c:pt>
                <c:pt idx="180">
                  <c:v>13.7451495228821</c:v>
                </c:pt>
                <c:pt idx="181">
                  <c:v>13.7778531316168</c:v>
                </c:pt>
                <c:pt idx="182">
                  <c:v>13.858558473868101</c:v>
                </c:pt>
                <c:pt idx="183">
                  <c:v>13.9564223913537</c:v>
                </c:pt>
                <c:pt idx="184">
                  <c:v>14.0733967886363</c:v>
                </c:pt>
                <c:pt idx="185">
                  <c:v>14.1636332554788</c:v>
                </c:pt>
                <c:pt idx="186">
                  <c:v>14.172081739166</c:v>
                </c:pt>
                <c:pt idx="187">
                  <c:v>14.163082940334</c:v>
                </c:pt>
                <c:pt idx="188">
                  <c:v>14.1485820666151</c:v>
                </c:pt>
                <c:pt idx="189">
                  <c:v>14.134880700001601</c:v>
                </c:pt>
                <c:pt idx="190">
                  <c:v>14.1262619260243</c:v>
                </c:pt>
                <c:pt idx="191">
                  <c:v>14.131030133186499</c:v>
                </c:pt>
                <c:pt idx="192">
                  <c:v>14.1534347357993</c:v>
                </c:pt>
                <c:pt idx="193">
                  <c:v>14.182525473889701</c:v>
                </c:pt>
                <c:pt idx="194">
                  <c:v>14.2609557759881</c:v>
                </c:pt>
                <c:pt idx="195">
                  <c:v>14.3568338212692</c:v>
                </c:pt>
                <c:pt idx="196">
                  <c:v>14.4723315239195</c:v>
                </c:pt>
                <c:pt idx="197">
                  <c:v>14.5607207599503</c:v>
                </c:pt>
                <c:pt idx="198">
                  <c:v>14.5653619034995</c:v>
                </c:pt>
                <c:pt idx="199">
                  <c:v>14.5523511050226</c:v>
                </c:pt>
                <c:pt idx="200">
                  <c:v>14.5336484722999</c:v>
                </c:pt>
                <c:pt idx="201">
                  <c:v>14.515821680745701</c:v>
                </c:pt>
                <c:pt idx="202">
                  <c:v>14.503553415509099</c:v>
                </c:pt>
                <c:pt idx="203">
                  <c:v>14.5053873804055</c:v>
                </c:pt>
                <c:pt idx="204">
                  <c:v>14.524656804781801</c:v>
                </c:pt>
                <c:pt idx="205">
                  <c:v>14.5526423211644</c:v>
                </c:pt>
                <c:pt idx="206">
                  <c:v>14.6296217960974</c:v>
                </c:pt>
                <c:pt idx="207">
                  <c:v>14.724742482441499</c:v>
                </c:pt>
                <c:pt idx="208">
                  <c:v>14.838673559065301</c:v>
                </c:pt>
                <c:pt idx="209">
                  <c:v>14.922310851504401</c:v>
                </c:pt>
                <c:pt idx="210">
                  <c:v>14.923019460408399</c:v>
                </c:pt>
                <c:pt idx="211">
                  <c:v>14.9063467231784</c:v>
                </c:pt>
                <c:pt idx="212">
                  <c:v>14.884028424554501</c:v>
                </c:pt>
                <c:pt idx="213">
                  <c:v>14.862752136527201</c:v>
                </c:pt>
                <c:pt idx="214">
                  <c:v>14.8478755274416</c:v>
                </c:pt>
                <c:pt idx="215">
                  <c:v>14.8465902859437</c:v>
                </c:pt>
                <c:pt idx="216">
                  <c:v>14.863212718972401</c:v>
                </c:pt>
                <c:pt idx="217">
                  <c:v>14.888617014570499</c:v>
                </c:pt>
                <c:pt idx="218">
                  <c:v>14.964055855514401</c:v>
                </c:pt>
                <c:pt idx="219">
                  <c:v>15.0578800954539</c:v>
                </c:pt>
                <c:pt idx="220">
                  <c:v>15.170900189925399</c:v>
                </c:pt>
                <c:pt idx="221">
                  <c:v>15.2532546470037</c:v>
                </c:pt>
                <c:pt idx="222">
                  <c:v>15.2511209954445</c:v>
                </c:pt>
                <c:pt idx="223">
                  <c:v>15.2314269959854</c:v>
                </c:pt>
                <c:pt idx="224">
                  <c:v>15.205934479739099</c:v>
                </c:pt>
                <c:pt idx="225">
                  <c:v>15.1815384579376</c:v>
                </c:pt>
                <c:pt idx="226">
                  <c:v>15.1639453787094</c:v>
                </c:pt>
                <c:pt idx="227">
                  <c:v>15.159937202119901</c:v>
                </c:pt>
                <c:pt idx="228">
                  <c:v>15.1742600042699</c:v>
                </c:pt>
                <c:pt idx="229">
                  <c:v>15.1974251562558</c:v>
                </c:pt>
                <c:pt idx="230">
                  <c:v>15.2715689605097</c:v>
                </c:pt>
                <c:pt idx="231">
                  <c:v>15.364322372640601</c:v>
                </c:pt>
                <c:pt idx="232">
                  <c:v>15.476621524165701</c:v>
                </c:pt>
                <c:pt idx="233">
                  <c:v>15.5579077797892</c:v>
                </c:pt>
                <c:pt idx="234">
                  <c:v>15.553277168652301</c:v>
                </c:pt>
                <c:pt idx="235">
                  <c:v>15.530915319797099</c:v>
                </c:pt>
                <c:pt idx="236">
                  <c:v>15.5026148000443</c:v>
                </c:pt>
                <c:pt idx="237">
                  <c:v>15.4754575112333</c:v>
                </c:pt>
                <c:pt idx="238">
                  <c:v>15.4554607382324</c:v>
                </c:pt>
                <c:pt idx="239">
                  <c:v>15.449049941945701</c:v>
                </c:pt>
                <c:pt idx="240">
                  <c:v>15.4613532393813</c:v>
                </c:pt>
                <c:pt idx="241">
                  <c:v>15.4825550688979</c:v>
                </c:pt>
                <c:pt idx="242">
                  <c:v>15.5555989165703</c:v>
                </c:pt>
                <c:pt idx="243">
                  <c:v>15.647459673497099</c:v>
                </c:pt>
                <c:pt idx="244">
                  <c:v>15.759186303307899</c:v>
                </c:pt>
                <c:pt idx="245">
                  <c:v>15.839574592498799</c:v>
                </c:pt>
                <c:pt idx="246">
                  <c:v>15.832728621311301</c:v>
                </c:pt>
                <c:pt idx="247">
                  <c:v>15.807988479731</c:v>
                </c:pt>
                <c:pt idx="248">
                  <c:v>15.7771806374738</c:v>
                </c:pt>
                <c:pt idx="249">
                  <c:v>15.7475567386</c:v>
                </c:pt>
                <c:pt idx="250">
                  <c:v>15.725021006354099</c:v>
                </c:pt>
                <c:pt idx="251">
                  <c:v>15.7172184354566</c:v>
                </c:pt>
                <c:pt idx="252">
                  <c:v>15.727685243386</c:v>
                </c:pt>
                <c:pt idx="253">
                  <c:v>15.7491966681209</c:v>
                </c:pt>
                <c:pt idx="254">
                  <c:v>15.821748515619699</c:v>
                </c:pt>
                <c:pt idx="255">
                  <c:v>15.9137523025917</c:v>
                </c:pt>
                <c:pt idx="256">
                  <c:v>16.0246178976609</c:v>
                </c:pt>
                <c:pt idx="257">
                  <c:v>16.100787826774301</c:v>
                </c:pt>
                <c:pt idx="258">
                  <c:v>16.091249961522699</c:v>
                </c:pt>
                <c:pt idx="259">
                  <c:v>16.064159133701398</c:v>
                </c:pt>
                <c:pt idx="260">
                  <c:v>16.031112755650099</c:v>
                </c:pt>
                <c:pt idx="261">
                  <c:v>15.9993956541472</c:v>
                </c:pt>
                <c:pt idx="262">
                  <c:v>15.9758044253509</c:v>
                </c:pt>
                <c:pt idx="263">
                  <c:v>15.9660912785166</c:v>
                </c:pt>
                <c:pt idx="264">
                  <c:v>15.9749584824275</c:v>
                </c:pt>
                <c:pt idx="265">
                  <c:v>15.9949456105638</c:v>
                </c:pt>
                <c:pt idx="266">
                  <c:v>16.066688929900501</c:v>
                </c:pt>
                <c:pt idx="267">
                  <c:v>16.1580694997911</c:v>
                </c:pt>
                <c:pt idx="268">
                  <c:v>16.268569347820801</c:v>
                </c:pt>
                <c:pt idx="269">
                  <c:v>16.344048278668499</c:v>
                </c:pt>
                <c:pt idx="270">
                  <c:v>16.332715658487199</c:v>
                </c:pt>
                <c:pt idx="271">
                  <c:v>16.303687878140799</c:v>
                </c:pt>
                <c:pt idx="272">
                  <c:v>16.268596610197601</c:v>
                </c:pt>
                <c:pt idx="273">
                  <c:v>16.2348679796014</c:v>
                </c:pt>
                <c:pt idx="274">
                  <c:v>16.2095320580794</c:v>
                </c:pt>
                <c:pt idx="275">
                  <c:v>16.198092285430299</c:v>
                </c:pt>
                <c:pt idx="276">
                  <c:v>16.205520007101999</c:v>
                </c:pt>
                <c:pt idx="277">
                  <c:v>16.224138562761802</c:v>
                </c:pt>
                <c:pt idx="278">
                  <c:v>16.295178886931701</c:v>
                </c:pt>
                <c:pt idx="279">
                  <c:v>16.3860302575433</c:v>
                </c:pt>
                <c:pt idx="280">
                  <c:v>16.496240438154999</c:v>
                </c:pt>
                <c:pt idx="281">
                  <c:v>16.5711227645292</c:v>
                </c:pt>
                <c:pt idx="282">
                  <c:v>16.5581617673392</c:v>
                </c:pt>
                <c:pt idx="283">
                  <c:v>16.527369860247799</c:v>
                </c:pt>
                <c:pt idx="284">
                  <c:v>16.4904139747937</c:v>
                </c:pt>
                <c:pt idx="285">
                  <c:v>16.4548508530665</c:v>
                </c:pt>
                <c:pt idx="286">
                  <c:v>16.427924618563999</c:v>
                </c:pt>
                <c:pt idx="287">
                  <c:v>16.414915121130502</c:v>
                </c:pt>
                <c:pt idx="288">
                  <c:v>16.421039552736101</c:v>
                </c:pt>
                <c:pt idx="289">
                  <c:v>16.438421831151</c:v>
                </c:pt>
                <c:pt idx="290">
                  <c:v>16.5088472753337</c:v>
                </c:pt>
                <c:pt idx="291">
                  <c:v>16.599247308597501</c:v>
                </c:pt>
                <c:pt idx="292">
                  <c:v>16.7092299002875</c:v>
                </c:pt>
                <c:pt idx="293">
                  <c:v>16.7835943426211</c:v>
                </c:pt>
                <c:pt idx="294">
                  <c:v>16.769147773337199</c:v>
                </c:pt>
                <c:pt idx="295">
                  <c:v>16.736740685750899</c:v>
                </c:pt>
                <c:pt idx="296">
                  <c:v>16.698075790494599</c:v>
                </c:pt>
                <c:pt idx="297">
                  <c:v>16.660831091995099</c:v>
                </c:pt>
                <c:pt idx="298">
                  <c:v>16.631835373597699</c:v>
                </c:pt>
                <c:pt idx="299">
                  <c:v>16.618174300425899</c:v>
                </c:pt>
                <c:pt idx="300">
                  <c:v>16.623066027487098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AC-4FA0-B9CC-6CC42BB45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092352"/>
        <c:axId val="441092744"/>
      </c:lineChart>
      <c:catAx>
        <c:axId val="44109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92744"/>
        <c:crosses val="autoZero"/>
        <c:auto val="1"/>
        <c:lblAlgn val="ctr"/>
        <c:lblOffset val="100"/>
        <c:noMultiLvlLbl val="0"/>
      </c:catAx>
      <c:valAx>
        <c:axId val="44109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9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STE_CEA_03!$E$8:$E$9</c:f>
              <c:strCache>
                <c:ptCount val="2"/>
                <c:pt idx="0">
                  <c:v>C mass of trees</c:v>
                </c:pt>
                <c:pt idx="1">
                  <c:v>tC/ha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STE_CEA_03!$A$12:$A$313</c:f>
              <c:numCache>
                <c:formatCode>General</c:formatCode>
                <c:ptCount val="302"/>
                <c:pt idx="0">
                  <c:v>2015</c:v>
                </c:pt>
                <c:pt idx="1">
                  <c:v>2015</c:v>
                </c:pt>
                <c:pt idx="2">
                  <c:v>2015</c:v>
                </c:pt>
                <c:pt idx="3">
                  <c:v>2015</c:v>
                </c:pt>
                <c:pt idx="4">
                  <c:v>2015</c:v>
                </c:pt>
                <c:pt idx="5">
                  <c:v>2015</c:v>
                </c:pt>
                <c:pt idx="6">
                  <c:v>2015</c:v>
                </c:pt>
                <c:pt idx="7">
                  <c:v>2016</c:v>
                </c:pt>
                <c:pt idx="8">
                  <c:v>2016</c:v>
                </c:pt>
                <c:pt idx="9">
                  <c:v>2016</c:v>
                </c:pt>
                <c:pt idx="10">
                  <c:v>2016</c:v>
                </c:pt>
                <c:pt idx="11">
                  <c:v>2016</c:v>
                </c:pt>
                <c:pt idx="12">
                  <c:v>2016</c:v>
                </c:pt>
                <c:pt idx="13">
                  <c:v>2016</c:v>
                </c:pt>
                <c:pt idx="14">
                  <c:v>2016</c:v>
                </c:pt>
                <c:pt idx="15">
                  <c:v>2016</c:v>
                </c:pt>
                <c:pt idx="16">
                  <c:v>2016</c:v>
                </c:pt>
                <c:pt idx="17">
                  <c:v>2016</c:v>
                </c:pt>
                <c:pt idx="18">
                  <c:v>2016</c:v>
                </c:pt>
                <c:pt idx="19">
                  <c:v>2017</c:v>
                </c:pt>
                <c:pt idx="20">
                  <c:v>2017</c:v>
                </c:pt>
                <c:pt idx="21">
                  <c:v>2017</c:v>
                </c:pt>
                <c:pt idx="22">
                  <c:v>2017</c:v>
                </c:pt>
                <c:pt idx="23">
                  <c:v>2017</c:v>
                </c:pt>
                <c:pt idx="24">
                  <c:v>2017</c:v>
                </c:pt>
                <c:pt idx="25">
                  <c:v>2017</c:v>
                </c:pt>
                <c:pt idx="26">
                  <c:v>2017</c:v>
                </c:pt>
                <c:pt idx="27">
                  <c:v>2017</c:v>
                </c:pt>
                <c:pt idx="28">
                  <c:v>2017</c:v>
                </c:pt>
                <c:pt idx="29">
                  <c:v>2017</c:v>
                </c:pt>
                <c:pt idx="30">
                  <c:v>2017</c:v>
                </c:pt>
                <c:pt idx="31">
                  <c:v>2018</c:v>
                </c:pt>
                <c:pt idx="32">
                  <c:v>2018</c:v>
                </c:pt>
                <c:pt idx="33">
                  <c:v>2018</c:v>
                </c:pt>
                <c:pt idx="34">
                  <c:v>2018</c:v>
                </c:pt>
                <c:pt idx="35">
                  <c:v>2018</c:v>
                </c:pt>
                <c:pt idx="36">
                  <c:v>2018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2018</c:v>
                </c:pt>
                <c:pt idx="42">
                  <c:v>2018</c:v>
                </c:pt>
                <c:pt idx="43">
                  <c:v>2019</c:v>
                </c:pt>
                <c:pt idx="44">
                  <c:v>2019</c:v>
                </c:pt>
                <c:pt idx="45">
                  <c:v>2019</c:v>
                </c:pt>
                <c:pt idx="46">
                  <c:v>2019</c:v>
                </c:pt>
                <c:pt idx="47">
                  <c:v>2019</c:v>
                </c:pt>
                <c:pt idx="48">
                  <c:v>2019</c:v>
                </c:pt>
                <c:pt idx="49">
                  <c:v>2019</c:v>
                </c:pt>
                <c:pt idx="50">
                  <c:v>2019</c:v>
                </c:pt>
                <c:pt idx="51">
                  <c:v>2019</c:v>
                </c:pt>
                <c:pt idx="52">
                  <c:v>2019</c:v>
                </c:pt>
                <c:pt idx="53">
                  <c:v>2019</c:v>
                </c:pt>
                <c:pt idx="54">
                  <c:v>2019</c:v>
                </c:pt>
                <c:pt idx="55">
                  <c:v>2020</c:v>
                </c:pt>
                <c:pt idx="56">
                  <c:v>2020</c:v>
                </c:pt>
                <c:pt idx="57">
                  <c:v>2020</c:v>
                </c:pt>
                <c:pt idx="58">
                  <c:v>2020</c:v>
                </c:pt>
                <c:pt idx="59">
                  <c:v>2020</c:v>
                </c:pt>
                <c:pt idx="60">
                  <c:v>2020</c:v>
                </c:pt>
                <c:pt idx="61">
                  <c:v>2020</c:v>
                </c:pt>
                <c:pt idx="62">
                  <c:v>2020</c:v>
                </c:pt>
                <c:pt idx="63">
                  <c:v>2020</c:v>
                </c:pt>
                <c:pt idx="64">
                  <c:v>2020</c:v>
                </c:pt>
                <c:pt idx="65">
                  <c:v>2020</c:v>
                </c:pt>
                <c:pt idx="66">
                  <c:v>2020</c:v>
                </c:pt>
                <c:pt idx="67">
                  <c:v>2021</c:v>
                </c:pt>
                <c:pt idx="68">
                  <c:v>2021</c:v>
                </c:pt>
                <c:pt idx="69">
                  <c:v>2021</c:v>
                </c:pt>
                <c:pt idx="70">
                  <c:v>2021</c:v>
                </c:pt>
                <c:pt idx="71">
                  <c:v>2021</c:v>
                </c:pt>
                <c:pt idx="72">
                  <c:v>2021</c:v>
                </c:pt>
                <c:pt idx="73">
                  <c:v>2021</c:v>
                </c:pt>
                <c:pt idx="74">
                  <c:v>2021</c:v>
                </c:pt>
                <c:pt idx="75">
                  <c:v>2021</c:v>
                </c:pt>
                <c:pt idx="76">
                  <c:v>2021</c:v>
                </c:pt>
                <c:pt idx="77">
                  <c:v>2021</c:v>
                </c:pt>
                <c:pt idx="78">
                  <c:v>2021</c:v>
                </c:pt>
                <c:pt idx="79">
                  <c:v>2022</c:v>
                </c:pt>
                <c:pt idx="80">
                  <c:v>2022</c:v>
                </c:pt>
                <c:pt idx="81">
                  <c:v>2022</c:v>
                </c:pt>
                <c:pt idx="82">
                  <c:v>2022</c:v>
                </c:pt>
                <c:pt idx="83">
                  <c:v>2022</c:v>
                </c:pt>
                <c:pt idx="84">
                  <c:v>2022</c:v>
                </c:pt>
                <c:pt idx="85">
                  <c:v>2022</c:v>
                </c:pt>
                <c:pt idx="86">
                  <c:v>2022</c:v>
                </c:pt>
                <c:pt idx="87">
                  <c:v>2022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2023</c:v>
                </c:pt>
                <c:pt idx="92">
                  <c:v>2023</c:v>
                </c:pt>
                <c:pt idx="93">
                  <c:v>2023</c:v>
                </c:pt>
                <c:pt idx="94">
                  <c:v>2023</c:v>
                </c:pt>
                <c:pt idx="95">
                  <c:v>2023</c:v>
                </c:pt>
                <c:pt idx="96">
                  <c:v>2023</c:v>
                </c:pt>
                <c:pt idx="97">
                  <c:v>2023</c:v>
                </c:pt>
                <c:pt idx="98">
                  <c:v>2023</c:v>
                </c:pt>
                <c:pt idx="99">
                  <c:v>2023</c:v>
                </c:pt>
                <c:pt idx="100">
                  <c:v>2023</c:v>
                </c:pt>
                <c:pt idx="101">
                  <c:v>2023</c:v>
                </c:pt>
                <c:pt idx="102">
                  <c:v>2023</c:v>
                </c:pt>
                <c:pt idx="103">
                  <c:v>2024</c:v>
                </c:pt>
                <c:pt idx="104">
                  <c:v>2024</c:v>
                </c:pt>
                <c:pt idx="105">
                  <c:v>2024</c:v>
                </c:pt>
                <c:pt idx="106">
                  <c:v>2024</c:v>
                </c:pt>
                <c:pt idx="107">
                  <c:v>2024</c:v>
                </c:pt>
                <c:pt idx="108">
                  <c:v>2024</c:v>
                </c:pt>
                <c:pt idx="109">
                  <c:v>2024</c:v>
                </c:pt>
                <c:pt idx="110">
                  <c:v>2024</c:v>
                </c:pt>
                <c:pt idx="111">
                  <c:v>2024</c:v>
                </c:pt>
                <c:pt idx="112">
                  <c:v>2024</c:v>
                </c:pt>
                <c:pt idx="113">
                  <c:v>2024</c:v>
                </c:pt>
                <c:pt idx="114">
                  <c:v>2024</c:v>
                </c:pt>
                <c:pt idx="115">
                  <c:v>2025</c:v>
                </c:pt>
                <c:pt idx="116">
                  <c:v>2025</c:v>
                </c:pt>
                <c:pt idx="117">
                  <c:v>2025</c:v>
                </c:pt>
                <c:pt idx="118">
                  <c:v>2025</c:v>
                </c:pt>
                <c:pt idx="119">
                  <c:v>2025</c:v>
                </c:pt>
                <c:pt idx="120">
                  <c:v>2025</c:v>
                </c:pt>
                <c:pt idx="121">
                  <c:v>2025</c:v>
                </c:pt>
                <c:pt idx="122">
                  <c:v>2025</c:v>
                </c:pt>
                <c:pt idx="123">
                  <c:v>2025</c:v>
                </c:pt>
                <c:pt idx="124">
                  <c:v>2025</c:v>
                </c:pt>
                <c:pt idx="125">
                  <c:v>2025</c:v>
                </c:pt>
                <c:pt idx="126">
                  <c:v>2025</c:v>
                </c:pt>
                <c:pt idx="127">
                  <c:v>2026</c:v>
                </c:pt>
                <c:pt idx="128">
                  <c:v>2026</c:v>
                </c:pt>
                <c:pt idx="129">
                  <c:v>2026</c:v>
                </c:pt>
                <c:pt idx="130">
                  <c:v>2026</c:v>
                </c:pt>
                <c:pt idx="131">
                  <c:v>2026</c:v>
                </c:pt>
                <c:pt idx="132">
                  <c:v>2026</c:v>
                </c:pt>
                <c:pt idx="133">
                  <c:v>2026</c:v>
                </c:pt>
                <c:pt idx="134">
                  <c:v>2026</c:v>
                </c:pt>
                <c:pt idx="135">
                  <c:v>2026</c:v>
                </c:pt>
                <c:pt idx="136">
                  <c:v>2026</c:v>
                </c:pt>
                <c:pt idx="137">
                  <c:v>2026</c:v>
                </c:pt>
                <c:pt idx="138">
                  <c:v>2026</c:v>
                </c:pt>
                <c:pt idx="139">
                  <c:v>2027</c:v>
                </c:pt>
                <c:pt idx="140">
                  <c:v>2027</c:v>
                </c:pt>
                <c:pt idx="141">
                  <c:v>2027</c:v>
                </c:pt>
                <c:pt idx="142">
                  <c:v>2027</c:v>
                </c:pt>
                <c:pt idx="143">
                  <c:v>2027</c:v>
                </c:pt>
                <c:pt idx="144">
                  <c:v>2027</c:v>
                </c:pt>
                <c:pt idx="145">
                  <c:v>2027</c:v>
                </c:pt>
                <c:pt idx="146">
                  <c:v>2027</c:v>
                </c:pt>
                <c:pt idx="147">
                  <c:v>2027</c:v>
                </c:pt>
                <c:pt idx="148">
                  <c:v>2027</c:v>
                </c:pt>
                <c:pt idx="149">
                  <c:v>2027</c:v>
                </c:pt>
                <c:pt idx="150">
                  <c:v>2027</c:v>
                </c:pt>
                <c:pt idx="151">
                  <c:v>2028</c:v>
                </c:pt>
                <c:pt idx="152">
                  <c:v>2028</c:v>
                </c:pt>
                <c:pt idx="153">
                  <c:v>2028</c:v>
                </c:pt>
                <c:pt idx="154">
                  <c:v>2028</c:v>
                </c:pt>
                <c:pt idx="155">
                  <c:v>2028</c:v>
                </c:pt>
                <c:pt idx="156">
                  <c:v>2028</c:v>
                </c:pt>
                <c:pt idx="157">
                  <c:v>2028</c:v>
                </c:pt>
                <c:pt idx="158">
                  <c:v>2028</c:v>
                </c:pt>
                <c:pt idx="159">
                  <c:v>2028</c:v>
                </c:pt>
                <c:pt idx="160">
                  <c:v>2028</c:v>
                </c:pt>
                <c:pt idx="161">
                  <c:v>2028</c:v>
                </c:pt>
                <c:pt idx="162">
                  <c:v>2028</c:v>
                </c:pt>
                <c:pt idx="163">
                  <c:v>2029</c:v>
                </c:pt>
                <c:pt idx="164">
                  <c:v>2029</c:v>
                </c:pt>
                <c:pt idx="165">
                  <c:v>2029</c:v>
                </c:pt>
                <c:pt idx="166">
                  <c:v>2029</c:v>
                </c:pt>
                <c:pt idx="167">
                  <c:v>2029</c:v>
                </c:pt>
                <c:pt idx="168">
                  <c:v>2029</c:v>
                </c:pt>
                <c:pt idx="169">
                  <c:v>2029</c:v>
                </c:pt>
                <c:pt idx="170">
                  <c:v>2029</c:v>
                </c:pt>
                <c:pt idx="171">
                  <c:v>2029</c:v>
                </c:pt>
                <c:pt idx="172">
                  <c:v>2029</c:v>
                </c:pt>
                <c:pt idx="173">
                  <c:v>2029</c:v>
                </c:pt>
                <c:pt idx="174">
                  <c:v>2029</c:v>
                </c:pt>
                <c:pt idx="175">
                  <c:v>2030</c:v>
                </c:pt>
                <c:pt idx="176">
                  <c:v>2030</c:v>
                </c:pt>
                <c:pt idx="177">
                  <c:v>2030</c:v>
                </c:pt>
                <c:pt idx="178">
                  <c:v>2030</c:v>
                </c:pt>
                <c:pt idx="179">
                  <c:v>2030</c:v>
                </c:pt>
                <c:pt idx="180">
                  <c:v>2030</c:v>
                </c:pt>
                <c:pt idx="181">
                  <c:v>2030</c:v>
                </c:pt>
                <c:pt idx="182">
                  <c:v>2030</c:v>
                </c:pt>
                <c:pt idx="183">
                  <c:v>2030</c:v>
                </c:pt>
                <c:pt idx="184">
                  <c:v>2030</c:v>
                </c:pt>
                <c:pt idx="185">
                  <c:v>2030</c:v>
                </c:pt>
                <c:pt idx="186">
                  <c:v>2030</c:v>
                </c:pt>
                <c:pt idx="187">
                  <c:v>2031</c:v>
                </c:pt>
                <c:pt idx="188">
                  <c:v>2031</c:v>
                </c:pt>
                <c:pt idx="189">
                  <c:v>2031</c:v>
                </c:pt>
                <c:pt idx="190">
                  <c:v>2031</c:v>
                </c:pt>
                <c:pt idx="191">
                  <c:v>2031</c:v>
                </c:pt>
                <c:pt idx="192">
                  <c:v>2031</c:v>
                </c:pt>
                <c:pt idx="193">
                  <c:v>2031</c:v>
                </c:pt>
                <c:pt idx="194">
                  <c:v>2031</c:v>
                </c:pt>
                <c:pt idx="195">
                  <c:v>2031</c:v>
                </c:pt>
                <c:pt idx="196">
                  <c:v>2031</c:v>
                </c:pt>
                <c:pt idx="197">
                  <c:v>2031</c:v>
                </c:pt>
                <c:pt idx="198">
                  <c:v>2031</c:v>
                </c:pt>
                <c:pt idx="199">
                  <c:v>2032</c:v>
                </c:pt>
                <c:pt idx="200">
                  <c:v>2032</c:v>
                </c:pt>
                <c:pt idx="201">
                  <c:v>2032</c:v>
                </c:pt>
                <c:pt idx="202">
                  <c:v>2032</c:v>
                </c:pt>
                <c:pt idx="203">
                  <c:v>2032</c:v>
                </c:pt>
                <c:pt idx="204">
                  <c:v>2032</c:v>
                </c:pt>
                <c:pt idx="205">
                  <c:v>2032</c:v>
                </c:pt>
                <c:pt idx="206">
                  <c:v>2032</c:v>
                </c:pt>
                <c:pt idx="207">
                  <c:v>2032</c:v>
                </c:pt>
                <c:pt idx="208">
                  <c:v>2032</c:v>
                </c:pt>
                <c:pt idx="209">
                  <c:v>2032</c:v>
                </c:pt>
                <c:pt idx="210">
                  <c:v>2032</c:v>
                </c:pt>
                <c:pt idx="211">
                  <c:v>2033</c:v>
                </c:pt>
                <c:pt idx="212">
                  <c:v>2033</c:v>
                </c:pt>
                <c:pt idx="213">
                  <c:v>2033</c:v>
                </c:pt>
                <c:pt idx="214">
                  <c:v>2033</c:v>
                </c:pt>
                <c:pt idx="215">
                  <c:v>2033</c:v>
                </c:pt>
                <c:pt idx="216">
                  <c:v>2033</c:v>
                </c:pt>
                <c:pt idx="217">
                  <c:v>2033</c:v>
                </c:pt>
                <c:pt idx="218">
                  <c:v>2033</c:v>
                </c:pt>
                <c:pt idx="219">
                  <c:v>2033</c:v>
                </c:pt>
                <c:pt idx="220">
                  <c:v>2033</c:v>
                </c:pt>
                <c:pt idx="221">
                  <c:v>2033</c:v>
                </c:pt>
                <c:pt idx="222">
                  <c:v>2033</c:v>
                </c:pt>
                <c:pt idx="223">
                  <c:v>2034</c:v>
                </c:pt>
                <c:pt idx="224">
                  <c:v>2034</c:v>
                </c:pt>
                <c:pt idx="225">
                  <c:v>2034</c:v>
                </c:pt>
                <c:pt idx="226">
                  <c:v>2034</c:v>
                </c:pt>
                <c:pt idx="227">
                  <c:v>2034</c:v>
                </c:pt>
                <c:pt idx="228">
                  <c:v>2034</c:v>
                </c:pt>
                <c:pt idx="229">
                  <c:v>2034</c:v>
                </c:pt>
                <c:pt idx="230">
                  <c:v>2034</c:v>
                </c:pt>
                <c:pt idx="231">
                  <c:v>2034</c:v>
                </c:pt>
                <c:pt idx="232">
                  <c:v>2034</c:v>
                </c:pt>
                <c:pt idx="233">
                  <c:v>2034</c:v>
                </c:pt>
                <c:pt idx="234">
                  <c:v>2034</c:v>
                </c:pt>
                <c:pt idx="235">
                  <c:v>2035</c:v>
                </c:pt>
                <c:pt idx="236">
                  <c:v>2035</c:v>
                </c:pt>
                <c:pt idx="237">
                  <c:v>2035</c:v>
                </c:pt>
                <c:pt idx="238">
                  <c:v>2035</c:v>
                </c:pt>
                <c:pt idx="239">
                  <c:v>2035</c:v>
                </c:pt>
                <c:pt idx="240">
                  <c:v>2035</c:v>
                </c:pt>
                <c:pt idx="241">
                  <c:v>2035</c:v>
                </c:pt>
                <c:pt idx="242">
                  <c:v>2035</c:v>
                </c:pt>
                <c:pt idx="243">
                  <c:v>2035</c:v>
                </c:pt>
                <c:pt idx="244">
                  <c:v>2035</c:v>
                </c:pt>
                <c:pt idx="245">
                  <c:v>2035</c:v>
                </c:pt>
                <c:pt idx="246">
                  <c:v>2035</c:v>
                </c:pt>
                <c:pt idx="247">
                  <c:v>2036</c:v>
                </c:pt>
                <c:pt idx="248">
                  <c:v>2036</c:v>
                </c:pt>
                <c:pt idx="249">
                  <c:v>2036</c:v>
                </c:pt>
                <c:pt idx="250">
                  <c:v>2036</c:v>
                </c:pt>
                <c:pt idx="251">
                  <c:v>2036</c:v>
                </c:pt>
                <c:pt idx="252">
                  <c:v>2036</c:v>
                </c:pt>
                <c:pt idx="253">
                  <c:v>2036</c:v>
                </c:pt>
                <c:pt idx="254">
                  <c:v>2036</c:v>
                </c:pt>
                <c:pt idx="255">
                  <c:v>2036</c:v>
                </c:pt>
                <c:pt idx="256">
                  <c:v>2036</c:v>
                </c:pt>
                <c:pt idx="257">
                  <c:v>2036</c:v>
                </c:pt>
                <c:pt idx="258">
                  <c:v>2036</c:v>
                </c:pt>
                <c:pt idx="259">
                  <c:v>2037</c:v>
                </c:pt>
                <c:pt idx="260">
                  <c:v>2037</c:v>
                </c:pt>
                <c:pt idx="261">
                  <c:v>2037</c:v>
                </c:pt>
                <c:pt idx="262">
                  <c:v>2037</c:v>
                </c:pt>
                <c:pt idx="263">
                  <c:v>2037</c:v>
                </c:pt>
                <c:pt idx="264">
                  <c:v>2037</c:v>
                </c:pt>
                <c:pt idx="265">
                  <c:v>2037</c:v>
                </c:pt>
                <c:pt idx="266">
                  <c:v>2037</c:v>
                </c:pt>
                <c:pt idx="267">
                  <c:v>2037</c:v>
                </c:pt>
                <c:pt idx="268">
                  <c:v>2037</c:v>
                </c:pt>
                <c:pt idx="269">
                  <c:v>2037</c:v>
                </c:pt>
                <c:pt idx="270">
                  <c:v>2037</c:v>
                </c:pt>
                <c:pt idx="271">
                  <c:v>2038</c:v>
                </c:pt>
                <c:pt idx="272">
                  <c:v>2038</c:v>
                </c:pt>
                <c:pt idx="273">
                  <c:v>2038</c:v>
                </c:pt>
                <c:pt idx="274">
                  <c:v>2038</c:v>
                </c:pt>
                <c:pt idx="275">
                  <c:v>2038</c:v>
                </c:pt>
                <c:pt idx="276">
                  <c:v>2038</c:v>
                </c:pt>
                <c:pt idx="277">
                  <c:v>2038</c:v>
                </c:pt>
                <c:pt idx="278">
                  <c:v>2038</c:v>
                </c:pt>
                <c:pt idx="279">
                  <c:v>2038</c:v>
                </c:pt>
                <c:pt idx="280">
                  <c:v>2038</c:v>
                </c:pt>
                <c:pt idx="281">
                  <c:v>2038</c:v>
                </c:pt>
                <c:pt idx="282">
                  <c:v>2038</c:v>
                </c:pt>
                <c:pt idx="283">
                  <c:v>2039</c:v>
                </c:pt>
                <c:pt idx="284">
                  <c:v>2039</c:v>
                </c:pt>
                <c:pt idx="285">
                  <c:v>2039</c:v>
                </c:pt>
                <c:pt idx="286">
                  <c:v>2039</c:v>
                </c:pt>
                <c:pt idx="287">
                  <c:v>2039</c:v>
                </c:pt>
                <c:pt idx="288">
                  <c:v>2039</c:v>
                </c:pt>
                <c:pt idx="289">
                  <c:v>2039</c:v>
                </c:pt>
                <c:pt idx="290">
                  <c:v>2039</c:v>
                </c:pt>
                <c:pt idx="291">
                  <c:v>2039</c:v>
                </c:pt>
                <c:pt idx="292">
                  <c:v>2039</c:v>
                </c:pt>
                <c:pt idx="293">
                  <c:v>2039</c:v>
                </c:pt>
                <c:pt idx="294">
                  <c:v>2039</c:v>
                </c:pt>
                <c:pt idx="295">
                  <c:v>2040</c:v>
                </c:pt>
                <c:pt idx="296">
                  <c:v>2040</c:v>
                </c:pt>
                <c:pt idx="297">
                  <c:v>2040</c:v>
                </c:pt>
                <c:pt idx="298">
                  <c:v>2040</c:v>
                </c:pt>
              </c:numCache>
            </c:numRef>
          </c:cat>
          <c:val>
            <c:numRef>
              <c:f>STE_CEA_03!$E$10:$E$311</c:f>
              <c:numCache>
                <c:formatCode>General</c:formatCode>
                <c:ptCount val="302"/>
                <c:pt idx="0">
                  <c:v>0</c:v>
                </c:pt>
                <c:pt idx="1">
                  <c:v>0.29370000000000002</c:v>
                </c:pt>
                <c:pt idx="2">
                  <c:v>0.29370000000000002</c:v>
                </c:pt>
                <c:pt idx="3">
                  <c:v>0.29370386373102098</c:v>
                </c:pt>
                <c:pt idx="4">
                  <c:v>0.29397233070307599</c:v>
                </c:pt>
                <c:pt idx="5">
                  <c:v>0.29704589772166601</c:v>
                </c:pt>
                <c:pt idx="6">
                  <c:v>0.31213572208495799</c:v>
                </c:pt>
                <c:pt idx="7">
                  <c:v>0.36796979013176101</c:v>
                </c:pt>
                <c:pt idx="8">
                  <c:v>0.51214699543368503</c:v>
                </c:pt>
                <c:pt idx="9">
                  <c:v>0.76918020724272396</c:v>
                </c:pt>
                <c:pt idx="10">
                  <c:v>1.1404391988089599</c:v>
                </c:pt>
                <c:pt idx="11">
                  <c:v>1.6834272671875801</c:v>
                </c:pt>
                <c:pt idx="12">
                  <c:v>2.4903522398839102</c:v>
                </c:pt>
                <c:pt idx="13">
                  <c:v>3.3500670859502302</c:v>
                </c:pt>
                <c:pt idx="14">
                  <c:v>4.4685834724780698</c:v>
                </c:pt>
                <c:pt idx="15">
                  <c:v>5.5537112697225002</c:v>
                </c:pt>
                <c:pt idx="16">
                  <c:v>6.4740211633239504</c:v>
                </c:pt>
                <c:pt idx="17">
                  <c:v>7.4111742950132298</c:v>
                </c:pt>
                <c:pt idx="18">
                  <c:v>8.4178999806425203</c:v>
                </c:pt>
                <c:pt idx="19">
                  <c:v>9.1629458835488897</c:v>
                </c:pt>
                <c:pt idx="20">
                  <c:v>9.9486212289659193</c:v>
                </c:pt>
                <c:pt idx="21">
                  <c:v>10.747764317808899</c:v>
                </c:pt>
                <c:pt idx="22">
                  <c:v>11.479137556964499</c:v>
                </c:pt>
                <c:pt idx="23">
                  <c:v>12.290889652495601</c:v>
                </c:pt>
                <c:pt idx="24">
                  <c:v>12.8247280692134</c:v>
                </c:pt>
                <c:pt idx="25">
                  <c:v>13.3720663673021</c:v>
                </c:pt>
                <c:pt idx="26">
                  <c:v>13.6487415125455</c:v>
                </c:pt>
                <c:pt idx="27">
                  <c:v>13.923648822183701</c:v>
                </c:pt>
                <c:pt idx="28">
                  <c:v>14.4701096258802</c:v>
                </c:pt>
                <c:pt idx="29">
                  <c:v>15.0026429260956</c:v>
                </c:pt>
                <c:pt idx="30">
                  <c:v>15.551656383081699</c:v>
                </c:pt>
                <c:pt idx="31">
                  <c:v>16.083227617311099</c:v>
                </c:pt>
                <c:pt idx="32">
                  <c:v>16.632437350064301</c:v>
                </c:pt>
                <c:pt idx="33">
                  <c:v>17.181227274516498</c:v>
                </c:pt>
                <c:pt idx="34">
                  <c:v>17.676283149404799</c:v>
                </c:pt>
                <c:pt idx="35">
                  <c:v>18.222137433728498</c:v>
                </c:pt>
                <c:pt idx="36">
                  <c:v>18.747670476237101</c:v>
                </c:pt>
                <c:pt idx="37">
                  <c:v>19.289225975007</c:v>
                </c:pt>
                <c:pt idx="38">
                  <c:v>19.8116467769552</c:v>
                </c:pt>
                <c:pt idx="39">
                  <c:v>20.613383646641498</c:v>
                </c:pt>
                <c:pt idx="40">
                  <c:v>21.1544494865859</c:v>
                </c:pt>
                <c:pt idx="41">
                  <c:v>21.667318271908201</c:v>
                </c:pt>
                <c:pt idx="42">
                  <c:v>22.1947478322016</c:v>
                </c:pt>
                <c:pt idx="43">
                  <c:v>22.702573495149199</c:v>
                </c:pt>
                <c:pt idx="44">
                  <c:v>23.224519498307099</c:v>
                </c:pt>
                <c:pt idx="45">
                  <c:v>23.743491134600202</c:v>
                </c:pt>
                <c:pt idx="46">
                  <c:v>24.209590359799201</c:v>
                </c:pt>
                <c:pt idx="47">
                  <c:v>24.718282190336499</c:v>
                </c:pt>
                <c:pt idx="48">
                  <c:v>25.207191660724099</c:v>
                </c:pt>
                <c:pt idx="49">
                  <c:v>25.7091317568992</c:v>
                </c:pt>
                <c:pt idx="50">
                  <c:v>26.191650674550299</c:v>
                </c:pt>
                <c:pt idx="51">
                  <c:v>26.445677491630001</c:v>
                </c:pt>
                <c:pt idx="52">
                  <c:v>26.9351212121068</c:v>
                </c:pt>
                <c:pt idx="53">
                  <c:v>27.408705044615498</c:v>
                </c:pt>
                <c:pt idx="54">
                  <c:v>27.893884369077401</c:v>
                </c:pt>
                <c:pt idx="55">
                  <c:v>28.359965856681502</c:v>
                </c:pt>
                <c:pt idx="56">
                  <c:v>28.837986497079999</c:v>
                </c:pt>
                <c:pt idx="57">
                  <c:v>29.312320942595999</c:v>
                </c:pt>
                <c:pt idx="58">
                  <c:v>29.752693259316999</c:v>
                </c:pt>
                <c:pt idx="59">
                  <c:v>30.219334203995899</c:v>
                </c:pt>
                <c:pt idx="60">
                  <c:v>30.666853067356801</c:v>
                </c:pt>
                <c:pt idx="61">
                  <c:v>31.1255971680215</c:v>
                </c:pt>
                <c:pt idx="62">
                  <c:v>31.5659617454365</c:v>
                </c:pt>
                <c:pt idx="63">
                  <c:v>32.232530051656198</c:v>
                </c:pt>
                <c:pt idx="64">
                  <c:v>32.678289883892297</c:v>
                </c:pt>
                <c:pt idx="65">
                  <c:v>33.105283224762097</c:v>
                </c:pt>
                <c:pt idx="66">
                  <c:v>33.542815057245498</c:v>
                </c:pt>
                <c:pt idx="67">
                  <c:v>33.9626642741732</c:v>
                </c:pt>
                <c:pt idx="68">
                  <c:v>34.392830092644097</c:v>
                </c:pt>
                <c:pt idx="69">
                  <c:v>34.819268753876798</c:v>
                </c:pt>
                <c:pt idx="70">
                  <c:v>35.201246856180603</c:v>
                </c:pt>
                <c:pt idx="71">
                  <c:v>35.619992506612</c:v>
                </c:pt>
                <c:pt idx="72">
                  <c:v>36.021686430385401</c:v>
                </c:pt>
                <c:pt idx="73">
                  <c:v>36.433170355589397</c:v>
                </c:pt>
                <c:pt idx="74">
                  <c:v>36.827915366868901</c:v>
                </c:pt>
                <c:pt idx="75">
                  <c:v>37.038689146714802</c:v>
                </c:pt>
                <c:pt idx="76">
                  <c:v>37.240373304084599</c:v>
                </c:pt>
                <c:pt idx="77">
                  <c:v>37.624960401671402</c:v>
                </c:pt>
                <c:pt idx="78">
                  <c:v>38.021655850974597</c:v>
                </c:pt>
                <c:pt idx="79">
                  <c:v>38.402161785052499</c:v>
                </c:pt>
                <c:pt idx="80">
                  <c:v>38.791888072313398</c:v>
                </c:pt>
                <c:pt idx="81">
                  <c:v>39.178120005637801</c:v>
                </c:pt>
                <c:pt idx="82">
                  <c:v>39.523993286181998</c:v>
                </c:pt>
                <c:pt idx="83">
                  <c:v>39.903648668902299</c:v>
                </c:pt>
                <c:pt idx="84">
                  <c:v>40.267375120008502</c:v>
                </c:pt>
                <c:pt idx="85">
                  <c:v>40.639864996967503</c:v>
                </c:pt>
                <c:pt idx="86">
                  <c:v>40.997144235664798</c:v>
                </c:pt>
                <c:pt idx="87">
                  <c:v>41.363059736395897</c:v>
                </c:pt>
                <c:pt idx="88">
                  <c:v>41.902861146060999</c:v>
                </c:pt>
                <c:pt idx="89">
                  <c:v>42.253251936678303</c:v>
                </c:pt>
                <c:pt idx="90">
                  <c:v>42.607447059814099</c:v>
                </c:pt>
                <c:pt idx="91">
                  <c:v>42.947178966350002</c:v>
                </c:pt>
                <c:pt idx="92">
                  <c:v>43.295125981068303</c:v>
                </c:pt>
                <c:pt idx="93">
                  <c:v>43.639942859772198</c:v>
                </c:pt>
                <c:pt idx="94">
                  <c:v>43.9487253378473</c:v>
                </c:pt>
                <c:pt idx="95">
                  <c:v>44.287514869048103</c:v>
                </c:pt>
                <c:pt idx="96">
                  <c:v>44.612300276366803</c:v>
                </c:pt>
                <c:pt idx="97">
                  <c:v>44.944951969081799</c:v>
                </c:pt>
                <c:pt idx="98">
                  <c:v>45.2640369905832</c:v>
                </c:pt>
                <c:pt idx="99">
                  <c:v>45.590857339081701</c:v>
                </c:pt>
                <c:pt idx="100">
                  <c:v>45.916059559829002</c:v>
                </c:pt>
                <c:pt idx="101">
                  <c:v>46.226619936524699</c:v>
                </c:pt>
                <c:pt idx="102">
                  <c:v>46.544566200698803</c:v>
                </c:pt>
                <c:pt idx="103">
                  <c:v>46.849565096143799</c:v>
                </c:pt>
                <c:pt idx="104">
                  <c:v>47.161978990795397</c:v>
                </c:pt>
                <c:pt idx="105">
                  <c:v>47.471625577251501</c:v>
                </c:pt>
                <c:pt idx="106">
                  <c:v>47.758815908818399</c:v>
                </c:pt>
                <c:pt idx="107">
                  <c:v>48.063068816361302</c:v>
                </c:pt>
                <c:pt idx="108">
                  <c:v>48.354830311367998</c:v>
                </c:pt>
                <c:pt idx="109">
                  <c:v>48.653709530524999</c:v>
                </c:pt>
                <c:pt idx="110">
                  <c:v>48.940450765529803</c:v>
                </c:pt>
                <c:pt idx="111">
                  <c:v>49.233018616544797</c:v>
                </c:pt>
                <c:pt idx="112">
                  <c:v>49.519533699340101</c:v>
                </c:pt>
                <c:pt idx="113">
                  <c:v>49.798856664084397</c:v>
                </c:pt>
                <c:pt idx="114">
                  <c:v>50.084905505780299</c:v>
                </c:pt>
                <c:pt idx="115">
                  <c:v>50.359363615921403</c:v>
                </c:pt>
                <c:pt idx="116">
                  <c:v>50.640554851938802</c:v>
                </c:pt>
                <c:pt idx="117">
                  <c:v>50.919317850764401</c:v>
                </c:pt>
                <c:pt idx="118">
                  <c:v>51.169039023710603</c:v>
                </c:pt>
                <c:pt idx="119">
                  <c:v>51.443169510512398</c:v>
                </c:pt>
                <c:pt idx="120">
                  <c:v>51.706119561161799</c:v>
                </c:pt>
                <c:pt idx="121">
                  <c:v>51.9755483181005</c:v>
                </c:pt>
                <c:pt idx="122">
                  <c:v>52.2340973524188</c:v>
                </c:pt>
                <c:pt idx="123">
                  <c:v>52.499028156790999</c:v>
                </c:pt>
                <c:pt idx="124">
                  <c:v>52.635944472848898</c:v>
                </c:pt>
                <c:pt idx="125">
                  <c:v>52.762765486899703</c:v>
                </c:pt>
                <c:pt idx="126">
                  <c:v>52.893267113204601</c:v>
                </c:pt>
                <c:pt idx="127">
                  <c:v>53.018955949035103</c:v>
                </c:pt>
                <c:pt idx="128">
                  <c:v>53.148291249703703</c:v>
                </c:pt>
                <c:pt idx="129">
                  <c:v>53.2770803071788</c:v>
                </c:pt>
                <c:pt idx="130">
                  <c:v>53.392938938713897</c:v>
                </c:pt>
                <c:pt idx="131">
                  <c:v>53.520696789621702</c:v>
                </c:pt>
                <c:pt idx="132">
                  <c:v>53.643821684151597</c:v>
                </c:pt>
                <c:pt idx="133">
                  <c:v>53.770524871368103</c:v>
                </c:pt>
                <c:pt idx="134">
                  <c:v>53.892634734302703</c:v>
                </c:pt>
                <c:pt idx="135">
                  <c:v>54.018294820813402</c:v>
                </c:pt>
                <c:pt idx="136">
                  <c:v>54.143429196937198</c:v>
                </c:pt>
                <c:pt idx="137">
                  <c:v>54.264029199609602</c:v>
                </c:pt>
                <c:pt idx="138">
                  <c:v>54.388137670545198</c:v>
                </c:pt>
                <c:pt idx="139">
                  <c:v>54.507682997732502</c:v>
                </c:pt>
                <c:pt idx="140">
                  <c:v>54.630705132354898</c:v>
                </c:pt>
                <c:pt idx="141">
                  <c:v>54.753216181879999</c:v>
                </c:pt>
                <c:pt idx="142">
                  <c:v>54.863434407006601</c:v>
                </c:pt>
                <c:pt idx="143">
                  <c:v>54.984980610140397</c:v>
                </c:pt>
                <c:pt idx="144">
                  <c:v>55.102127156421403</c:v>
                </c:pt>
                <c:pt idx="145">
                  <c:v>55.222686544050397</c:v>
                </c:pt>
                <c:pt idx="146">
                  <c:v>55.338883344542502</c:v>
                </c:pt>
                <c:pt idx="147">
                  <c:v>55.458466707974097</c:v>
                </c:pt>
                <c:pt idx="148">
                  <c:v>55.5775581542919</c:v>
                </c:pt>
                <c:pt idx="149">
                  <c:v>55.6923421494878</c:v>
                </c:pt>
                <c:pt idx="150">
                  <c:v>55.810473609086699</c:v>
                </c:pt>
                <c:pt idx="151">
                  <c:v>55.924276493030298</c:v>
                </c:pt>
                <c:pt idx="152">
                  <c:v>56.041395386680499</c:v>
                </c:pt>
                <c:pt idx="153">
                  <c:v>56.158035975342202</c:v>
                </c:pt>
                <c:pt idx="154">
                  <c:v>56.266720705030998</c:v>
                </c:pt>
                <c:pt idx="155">
                  <c:v>56.382443073342699</c:v>
                </c:pt>
                <c:pt idx="156">
                  <c:v>56.493984405480802</c:v>
                </c:pt>
                <c:pt idx="157">
                  <c:v>56.608783329795301</c:v>
                </c:pt>
                <c:pt idx="158">
                  <c:v>56.719435880361402</c:v>
                </c:pt>
                <c:pt idx="159">
                  <c:v>56.833321402941301</c:v>
                </c:pt>
                <c:pt idx="160">
                  <c:v>56.946746547514401</c:v>
                </c:pt>
                <c:pt idx="161">
                  <c:v>57.056076874010699</c:v>
                </c:pt>
                <c:pt idx="162">
                  <c:v>57.168603534409399</c:v>
                </c:pt>
                <c:pt idx="163">
                  <c:v>57.2770167937934</c:v>
                </c:pt>
                <c:pt idx="164">
                  <c:v>57.388599027879302</c:v>
                </c:pt>
                <c:pt idx="165">
                  <c:v>57.4997335243023</c:v>
                </c:pt>
                <c:pt idx="166">
                  <c:v>57.599730283050498</c:v>
                </c:pt>
                <c:pt idx="167">
                  <c:v>57.710019440911204</c:v>
                </c:pt>
                <c:pt idx="168">
                  <c:v>57.816331336760001</c:v>
                </c:pt>
                <c:pt idx="169">
                  <c:v>57.925755790060101</c:v>
                </c:pt>
                <c:pt idx="170">
                  <c:v>58.031235403591801</c:v>
                </c:pt>
                <c:pt idx="171">
                  <c:v>58.139804482422598</c:v>
                </c:pt>
                <c:pt idx="172">
                  <c:v>58.247942401613301</c:v>
                </c:pt>
                <c:pt idx="173">
                  <c:v>58.352183707252102</c:v>
                </c:pt>
                <c:pt idx="174">
                  <c:v>58.459480107480502</c:v>
                </c:pt>
                <c:pt idx="175">
                  <c:v>58.562865079482599</c:v>
                </c:pt>
                <c:pt idx="176">
                  <c:v>58.669279647810001</c:v>
                </c:pt>
                <c:pt idx="177">
                  <c:v>58.775274780813</c:v>
                </c:pt>
                <c:pt idx="178">
                  <c:v>58.870653713127197</c:v>
                </c:pt>
                <c:pt idx="179">
                  <c:v>58.975856885101898</c:v>
                </c:pt>
                <c:pt idx="180">
                  <c:v>59.077273321641897</c:v>
                </c:pt>
                <c:pt idx="181">
                  <c:v>59.1816663085228</c:v>
                </c:pt>
                <c:pt idx="182">
                  <c:v>59.282302897619402</c:v>
                </c:pt>
                <c:pt idx="183">
                  <c:v>59.385894357711202</c:v>
                </c:pt>
                <c:pt idx="184">
                  <c:v>59.489081768155998</c:v>
                </c:pt>
                <c:pt idx="185">
                  <c:v>59.588557910338302</c:v>
                </c:pt>
                <c:pt idx="186">
                  <c:v>59.690956649499299</c:v>
                </c:pt>
                <c:pt idx="187">
                  <c:v>59.789632410265902</c:v>
                </c:pt>
                <c:pt idx="188">
                  <c:v>59.891206967326397</c:v>
                </c:pt>
                <c:pt idx="189">
                  <c:v>59.992388340555301</c:v>
                </c:pt>
                <c:pt idx="190">
                  <c:v>60.083441786394502</c:v>
                </c:pt>
                <c:pt idx="191">
                  <c:v>60.1838807031355</c:v>
                </c:pt>
                <c:pt idx="192">
                  <c:v>60.280711110142398</c:v>
                </c:pt>
                <c:pt idx="193">
                  <c:v>60.380390398906698</c:v>
                </c:pt>
                <c:pt idx="194">
                  <c:v>60.476489579540001</c:v>
                </c:pt>
                <c:pt idx="195">
                  <c:v>60.575417269743902</c:v>
                </c:pt>
                <c:pt idx="196">
                  <c:v>60.673966044951797</c:v>
                </c:pt>
                <c:pt idx="197">
                  <c:v>60.768976966471001</c:v>
                </c:pt>
                <c:pt idx="198">
                  <c:v>60.866786063707202</c:v>
                </c:pt>
                <c:pt idx="199">
                  <c:v>60.961049431006899</c:v>
                </c:pt>
                <c:pt idx="200">
                  <c:v>61.058087454500601</c:v>
                </c:pt>
                <c:pt idx="201">
                  <c:v>61.154756629117699</c:v>
                </c:pt>
                <c:pt idx="202">
                  <c:v>61.244856907236802</c:v>
                </c:pt>
                <c:pt idx="203">
                  <c:v>61.340817768022603</c:v>
                </c:pt>
                <c:pt idx="204">
                  <c:v>61.4333373782002</c:v>
                </c:pt>
                <c:pt idx="205">
                  <c:v>61.528585594342303</c:v>
                </c:pt>
                <c:pt idx="206">
                  <c:v>61.6204191609622</c:v>
                </c:pt>
                <c:pt idx="207">
                  <c:v>61.714962174828102</c:v>
                </c:pt>
                <c:pt idx="208">
                  <c:v>61.809149629451703</c:v>
                </c:pt>
                <c:pt idx="209">
                  <c:v>61.899962015742403</c:v>
                </c:pt>
                <c:pt idx="210">
                  <c:v>61.993455316791497</c:v>
                </c:pt>
                <c:pt idx="211">
                  <c:v>62.0835665227345</c:v>
                </c:pt>
                <c:pt idx="212">
                  <c:v>62.176337819098201</c:v>
                </c:pt>
                <c:pt idx="213">
                  <c:v>62.268762878756</c:v>
                </c:pt>
                <c:pt idx="214">
                  <c:v>62.351947499523497</c:v>
                </c:pt>
                <c:pt idx="215">
                  <c:v>62.443718629171897</c:v>
                </c:pt>
                <c:pt idx="216">
                  <c:v>62.532204736438999</c:v>
                </c:pt>
                <c:pt idx="217">
                  <c:v>62.623306640376001</c:v>
                </c:pt>
                <c:pt idx="218">
                  <c:v>62.711148458890399</c:v>
                </c:pt>
                <c:pt idx="219">
                  <c:v>62.801588036622903</c:v>
                </c:pt>
                <c:pt idx="220">
                  <c:v>62.891693638764103</c:v>
                </c:pt>
                <c:pt idx="221">
                  <c:v>62.978576266209799</c:v>
                </c:pt>
                <c:pt idx="222">
                  <c:v>63.068029785143601</c:v>
                </c:pt>
                <c:pt idx="223">
                  <c:v>63.154255059419803</c:v>
                </c:pt>
                <c:pt idx="224">
                  <c:v>63.243031704739202</c:v>
                </c:pt>
                <c:pt idx="225">
                  <c:v>63.331483011466197</c:v>
                </c:pt>
                <c:pt idx="226">
                  <c:v>63.411096287740897</c:v>
                </c:pt>
                <c:pt idx="227">
                  <c:v>63.498933071490598</c:v>
                </c:pt>
                <c:pt idx="228">
                  <c:v>63.583631280950101</c:v>
                </c:pt>
                <c:pt idx="229">
                  <c:v>63.670839081635201</c:v>
                </c:pt>
                <c:pt idx="230">
                  <c:v>63.754931703136101</c:v>
                </c:pt>
                <c:pt idx="231">
                  <c:v>63.841516918271601</c:v>
                </c:pt>
                <c:pt idx="232">
                  <c:v>63.927788163617002</c:v>
                </c:pt>
                <c:pt idx="233">
                  <c:v>64.010979051671598</c:v>
                </c:pt>
                <c:pt idx="234">
                  <c:v>64.096637209780795</c:v>
                </c:pt>
                <c:pt idx="235">
                  <c:v>64.179211197509701</c:v>
                </c:pt>
                <c:pt idx="236">
                  <c:v>64.264234133392193</c:v>
                </c:pt>
                <c:pt idx="237">
                  <c:v>64.348951104097097</c:v>
                </c:pt>
                <c:pt idx="238">
                  <c:v>64.425207981373504</c:v>
                </c:pt>
                <c:pt idx="239">
                  <c:v>64.509346962393195</c:v>
                </c:pt>
                <c:pt idx="240">
                  <c:v>64.590484763005094</c:v>
                </c:pt>
                <c:pt idx="241">
                  <c:v>64.674032070900097</c:v>
                </c:pt>
                <c:pt idx="242">
                  <c:v>64.754600165024399</c:v>
                </c:pt>
                <c:pt idx="243">
                  <c:v>64.837561734035205</c:v>
                </c:pt>
                <c:pt idx="244">
                  <c:v>64.920227883057393</c:v>
                </c:pt>
                <c:pt idx="245">
                  <c:v>64.999947519666705</c:v>
                </c:pt>
                <c:pt idx="246">
                  <c:v>65.082036741105199</c:v>
                </c:pt>
                <c:pt idx="247">
                  <c:v>65.161177675031198</c:v>
                </c:pt>
                <c:pt idx="248">
                  <c:v>65.242670146301506</c:v>
                </c:pt>
                <c:pt idx="249">
                  <c:v>65.323874619722901</c:v>
                </c:pt>
                <c:pt idx="250">
                  <c:v>65.399580659573402</c:v>
                </c:pt>
                <c:pt idx="251">
                  <c:v>65.480231849931201</c:v>
                </c:pt>
                <c:pt idx="252">
                  <c:v>65.558011210744596</c:v>
                </c:pt>
                <c:pt idx="253">
                  <c:v>65.638105425378896</c:v>
                </c:pt>
                <c:pt idx="254">
                  <c:v>65.715348449990302</c:v>
                </c:pt>
                <c:pt idx="255">
                  <c:v>65.7948911950633</c:v>
                </c:pt>
                <c:pt idx="256">
                  <c:v>65.874155773513905</c:v>
                </c:pt>
                <c:pt idx="257">
                  <c:v>65.950599893121307</c:v>
                </c:pt>
                <c:pt idx="258">
                  <c:v>66.029321178635101</c:v>
                </c:pt>
                <c:pt idx="259">
                  <c:v>66.105220403221097</c:v>
                </c:pt>
                <c:pt idx="260">
                  <c:v>66.183380595538694</c:v>
                </c:pt>
                <c:pt idx="261">
                  <c:v>66.261269506013704</c:v>
                </c:pt>
                <c:pt idx="262">
                  <c:v>66.331388732912998</c:v>
                </c:pt>
                <c:pt idx="263">
                  <c:v>66.408765063313695</c:v>
                </c:pt>
                <c:pt idx="264">
                  <c:v>66.483390790436403</c:v>
                </c:pt>
                <c:pt idx="265">
                  <c:v>66.560242255917203</c:v>
                </c:pt>
                <c:pt idx="266">
                  <c:v>66.634362530960004</c:v>
                </c:pt>
                <c:pt idx="267">
                  <c:v>66.7106942446202</c:v>
                </c:pt>
                <c:pt idx="268">
                  <c:v>66.786763761599701</c:v>
                </c:pt>
                <c:pt idx="269">
                  <c:v>66.860130998090597</c:v>
                </c:pt>
                <c:pt idx="270">
                  <c:v>66.935688357193598</c:v>
                </c:pt>
                <c:pt idx="271">
                  <c:v>67.008542665668301</c:v>
                </c:pt>
                <c:pt idx="272">
                  <c:v>67.083571838423396</c:v>
                </c:pt>
                <c:pt idx="273">
                  <c:v>67.158345206488093</c:v>
                </c:pt>
                <c:pt idx="274">
                  <c:v>67.225663618157895</c:v>
                </c:pt>
                <c:pt idx="275">
                  <c:v>67.299953597997799</c:v>
                </c:pt>
                <c:pt idx="276">
                  <c:v>67.371607007922194</c:v>
                </c:pt>
                <c:pt idx="277">
                  <c:v>67.445401943524402</c:v>
                </c:pt>
                <c:pt idx="278">
                  <c:v>67.516578584441106</c:v>
                </c:pt>
                <c:pt idx="279">
                  <c:v>67.589883227145407</c:v>
                </c:pt>
                <c:pt idx="280">
                  <c:v>67.662940507052596</c:v>
                </c:pt>
                <c:pt idx="281">
                  <c:v>67.733406713052105</c:v>
                </c:pt>
                <c:pt idx="282">
                  <c:v>67.805980757766605</c:v>
                </c:pt>
                <c:pt idx="283">
                  <c:v>67.875963647535102</c:v>
                </c:pt>
                <c:pt idx="284">
                  <c:v>67.948039987039493</c:v>
                </c:pt>
                <c:pt idx="285">
                  <c:v>68.019874902661996</c:v>
                </c:pt>
                <c:pt idx="286">
                  <c:v>68.084551515372098</c:v>
                </c:pt>
                <c:pt idx="287">
                  <c:v>68.155930169144796</c:v>
                </c:pt>
                <c:pt idx="288">
                  <c:v>68.224779617503899</c:v>
                </c:pt>
                <c:pt idx="289">
                  <c:v>68.295690941016005</c:v>
                </c:pt>
                <c:pt idx="290">
                  <c:v>68.364090278712297</c:v>
                </c:pt>
                <c:pt idx="291">
                  <c:v>68.434538690419203</c:v>
                </c:pt>
                <c:pt idx="292">
                  <c:v>68.504753528205995</c:v>
                </c:pt>
                <c:pt idx="293">
                  <c:v>68.572482033304595</c:v>
                </c:pt>
                <c:pt idx="294">
                  <c:v>68.6422405235611</c:v>
                </c:pt>
                <c:pt idx="295">
                  <c:v>68.709513733233393</c:v>
                </c:pt>
                <c:pt idx="296">
                  <c:v>68.778802781023302</c:v>
                </c:pt>
                <c:pt idx="297">
                  <c:v>68.847863777245493</c:v>
                </c:pt>
                <c:pt idx="298">
                  <c:v>68.912263731830294</c:v>
                </c:pt>
                <c:pt idx="299">
                  <c:v>68.980886420613402</c:v>
                </c:pt>
                <c:pt idx="300">
                  <c:v>69.047081348811105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1-4DEB-9ABF-C5C7A54CCDAC}"/>
            </c:ext>
          </c:extLst>
        </c:ser>
        <c:ser>
          <c:idx val="1"/>
          <c:order val="1"/>
          <c:tx>
            <c:strRef>
              <c:f>STE_CEA_03!$F$8:$F$9</c:f>
              <c:strCache>
                <c:ptCount val="2"/>
                <c:pt idx="0">
                  <c:v>C mass of forest debris</c:v>
                </c:pt>
                <c:pt idx="1">
                  <c:v>tC/ha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STE_CEA_03!$A$12:$A$313</c:f>
              <c:numCache>
                <c:formatCode>General</c:formatCode>
                <c:ptCount val="302"/>
                <c:pt idx="0">
                  <c:v>2015</c:v>
                </c:pt>
                <c:pt idx="1">
                  <c:v>2015</c:v>
                </c:pt>
                <c:pt idx="2">
                  <c:v>2015</c:v>
                </c:pt>
                <c:pt idx="3">
                  <c:v>2015</c:v>
                </c:pt>
                <c:pt idx="4">
                  <c:v>2015</c:v>
                </c:pt>
                <c:pt idx="5">
                  <c:v>2015</c:v>
                </c:pt>
                <c:pt idx="6">
                  <c:v>2015</c:v>
                </c:pt>
                <c:pt idx="7">
                  <c:v>2016</c:v>
                </c:pt>
                <c:pt idx="8">
                  <c:v>2016</c:v>
                </c:pt>
                <c:pt idx="9">
                  <c:v>2016</c:v>
                </c:pt>
                <c:pt idx="10">
                  <c:v>2016</c:v>
                </c:pt>
                <c:pt idx="11">
                  <c:v>2016</c:v>
                </c:pt>
                <c:pt idx="12">
                  <c:v>2016</c:v>
                </c:pt>
                <c:pt idx="13">
                  <c:v>2016</c:v>
                </c:pt>
                <c:pt idx="14">
                  <c:v>2016</c:v>
                </c:pt>
                <c:pt idx="15">
                  <c:v>2016</c:v>
                </c:pt>
                <c:pt idx="16">
                  <c:v>2016</c:v>
                </c:pt>
                <c:pt idx="17">
                  <c:v>2016</c:v>
                </c:pt>
                <c:pt idx="18">
                  <c:v>2016</c:v>
                </c:pt>
                <c:pt idx="19">
                  <c:v>2017</c:v>
                </c:pt>
                <c:pt idx="20">
                  <c:v>2017</c:v>
                </c:pt>
                <c:pt idx="21">
                  <c:v>2017</c:v>
                </c:pt>
                <c:pt idx="22">
                  <c:v>2017</c:v>
                </c:pt>
                <c:pt idx="23">
                  <c:v>2017</c:v>
                </c:pt>
                <c:pt idx="24">
                  <c:v>2017</c:v>
                </c:pt>
                <c:pt idx="25">
                  <c:v>2017</c:v>
                </c:pt>
                <c:pt idx="26">
                  <c:v>2017</c:v>
                </c:pt>
                <c:pt idx="27">
                  <c:v>2017</c:v>
                </c:pt>
                <c:pt idx="28">
                  <c:v>2017</c:v>
                </c:pt>
                <c:pt idx="29">
                  <c:v>2017</c:v>
                </c:pt>
                <c:pt idx="30">
                  <c:v>2017</c:v>
                </c:pt>
                <c:pt idx="31">
                  <c:v>2018</c:v>
                </c:pt>
                <c:pt idx="32">
                  <c:v>2018</c:v>
                </c:pt>
                <c:pt idx="33">
                  <c:v>2018</c:v>
                </c:pt>
                <c:pt idx="34">
                  <c:v>2018</c:v>
                </c:pt>
                <c:pt idx="35">
                  <c:v>2018</c:v>
                </c:pt>
                <c:pt idx="36">
                  <c:v>2018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2018</c:v>
                </c:pt>
                <c:pt idx="42">
                  <c:v>2018</c:v>
                </c:pt>
                <c:pt idx="43">
                  <c:v>2019</c:v>
                </c:pt>
                <c:pt idx="44">
                  <c:v>2019</c:v>
                </c:pt>
                <c:pt idx="45">
                  <c:v>2019</c:v>
                </c:pt>
                <c:pt idx="46">
                  <c:v>2019</c:v>
                </c:pt>
                <c:pt idx="47">
                  <c:v>2019</c:v>
                </c:pt>
                <c:pt idx="48">
                  <c:v>2019</c:v>
                </c:pt>
                <c:pt idx="49">
                  <c:v>2019</c:v>
                </c:pt>
                <c:pt idx="50">
                  <c:v>2019</c:v>
                </c:pt>
                <c:pt idx="51">
                  <c:v>2019</c:v>
                </c:pt>
                <c:pt idx="52">
                  <c:v>2019</c:v>
                </c:pt>
                <c:pt idx="53">
                  <c:v>2019</c:v>
                </c:pt>
                <c:pt idx="54">
                  <c:v>2019</c:v>
                </c:pt>
                <c:pt idx="55">
                  <c:v>2020</c:v>
                </c:pt>
                <c:pt idx="56">
                  <c:v>2020</c:v>
                </c:pt>
                <c:pt idx="57">
                  <c:v>2020</c:v>
                </c:pt>
                <c:pt idx="58">
                  <c:v>2020</c:v>
                </c:pt>
                <c:pt idx="59">
                  <c:v>2020</c:v>
                </c:pt>
                <c:pt idx="60">
                  <c:v>2020</c:v>
                </c:pt>
                <c:pt idx="61">
                  <c:v>2020</c:v>
                </c:pt>
                <c:pt idx="62">
                  <c:v>2020</c:v>
                </c:pt>
                <c:pt idx="63">
                  <c:v>2020</c:v>
                </c:pt>
                <c:pt idx="64">
                  <c:v>2020</c:v>
                </c:pt>
                <c:pt idx="65">
                  <c:v>2020</c:v>
                </c:pt>
                <c:pt idx="66">
                  <c:v>2020</c:v>
                </c:pt>
                <c:pt idx="67">
                  <c:v>2021</c:v>
                </c:pt>
                <c:pt idx="68">
                  <c:v>2021</c:v>
                </c:pt>
                <c:pt idx="69">
                  <c:v>2021</c:v>
                </c:pt>
                <c:pt idx="70">
                  <c:v>2021</c:v>
                </c:pt>
                <c:pt idx="71">
                  <c:v>2021</c:v>
                </c:pt>
                <c:pt idx="72">
                  <c:v>2021</c:v>
                </c:pt>
                <c:pt idx="73">
                  <c:v>2021</c:v>
                </c:pt>
                <c:pt idx="74">
                  <c:v>2021</c:v>
                </c:pt>
                <c:pt idx="75">
                  <c:v>2021</c:v>
                </c:pt>
                <c:pt idx="76">
                  <c:v>2021</c:v>
                </c:pt>
                <c:pt idx="77">
                  <c:v>2021</c:v>
                </c:pt>
                <c:pt idx="78">
                  <c:v>2021</c:v>
                </c:pt>
                <c:pt idx="79">
                  <c:v>2022</c:v>
                </c:pt>
                <c:pt idx="80">
                  <c:v>2022</c:v>
                </c:pt>
                <c:pt idx="81">
                  <c:v>2022</c:v>
                </c:pt>
                <c:pt idx="82">
                  <c:v>2022</c:v>
                </c:pt>
                <c:pt idx="83">
                  <c:v>2022</c:v>
                </c:pt>
                <c:pt idx="84">
                  <c:v>2022</c:v>
                </c:pt>
                <c:pt idx="85">
                  <c:v>2022</c:v>
                </c:pt>
                <c:pt idx="86">
                  <c:v>2022</c:v>
                </c:pt>
                <c:pt idx="87">
                  <c:v>2022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2023</c:v>
                </c:pt>
                <c:pt idx="92">
                  <c:v>2023</c:v>
                </c:pt>
                <c:pt idx="93">
                  <c:v>2023</c:v>
                </c:pt>
                <c:pt idx="94">
                  <c:v>2023</c:v>
                </c:pt>
                <c:pt idx="95">
                  <c:v>2023</c:v>
                </c:pt>
                <c:pt idx="96">
                  <c:v>2023</c:v>
                </c:pt>
                <c:pt idx="97">
                  <c:v>2023</c:v>
                </c:pt>
                <c:pt idx="98">
                  <c:v>2023</c:v>
                </c:pt>
                <c:pt idx="99">
                  <c:v>2023</c:v>
                </c:pt>
                <c:pt idx="100">
                  <c:v>2023</c:v>
                </c:pt>
                <c:pt idx="101">
                  <c:v>2023</c:v>
                </c:pt>
                <c:pt idx="102">
                  <c:v>2023</c:v>
                </c:pt>
                <c:pt idx="103">
                  <c:v>2024</c:v>
                </c:pt>
                <c:pt idx="104">
                  <c:v>2024</c:v>
                </c:pt>
                <c:pt idx="105">
                  <c:v>2024</c:v>
                </c:pt>
                <c:pt idx="106">
                  <c:v>2024</c:v>
                </c:pt>
                <c:pt idx="107">
                  <c:v>2024</c:v>
                </c:pt>
                <c:pt idx="108">
                  <c:v>2024</c:v>
                </c:pt>
                <c:pt idx="109">
                  <c:v>2024</c:v>
                </c:pt>
                <c:pt idx="110">
                  <c:v>2024</c:v>
                </c:pt>
                <c:pt idx="111">
                  <c:v>2024</c:v>
                </c:pt>
                <c:pt idx="112">
                  <c:v>2024</c:v>
                </c:pt>
                <c:pt idx="113">
                  <c:v>2024</c:v>
                </c:pt>
                <c:pt idx="114">
                  <c:v>2024</c:v>
                </c:pt>
                <c:pt idx="115">
                  <c:v>2025</c:v>
                </c:pt>
                <c:pt idx="116">
                  <c:v>2025</c:v>
                </c:pt>
                <c:pt idx="117">
                  <c:v>2025</c:v>
                </c:pt>
                <c:pt idx="118">
                  <c:v>2025</c:v>
                </c:pt>
                <c:pt idx="119">
                  <c:v>2025</c:v>
                </c:pt>
                <c:pt idx="120">
                  <c:v>2025</c:v>
                </c:pt>
                <c:pt idx="121">
                  <c:v>2025</c:v>
                </c:pt>
                <c:pt idx="122">
                  <c:v>2025</c:v>
                </c:pt>
                <c:pt idx="123">
                  <c:v>2025</c:v>
                </c:pt>
                <c:pt idx="124">
                  <c:v>2025</c:v>
                </c:pt>
                <c:pt idx="125">
                  <c:v>2025</c:v>
                </c:pt>
                <c:pt idx="126">
                  <c:v>2025</c:v>
                </c:pt>
                <c:pt idx="127">
                  <c:v>2026</c:v>
                </c:pt>
                <c:pt idx="128">
                  <c:v>2026</c:v>
                </c:pt>
                <c:pt idx="129">
                  <c:v>2026</c:v>
                </c:pt>
                <c:pt idx="130">
                  <c:v>2026</c:v>
                </c:pt>
                <c:pt idx="131">
                  <c:v>2026</c:v>
                </c:pt>
                <c:pt idx="132">
                  <c:v>2026</c:v>
                </c:pt>
                <c:pt idx="133">
                  <c:v>2026</c:v>
                </c:pt>
                <c:pt idx="134">
                  <c:v>2026</c:v>
                </c:pt>
                <c:pt idx="135">
                  <c:v>2026</c:v>
                </c:pt>
                <c:pt idx="136">
                  <c:v>2026</c:v>
                </c:pt>
                <c:pt idx="137">
                  <c:v>2026</c:v>
                </c:pt>
                <c:pt idx="138">
                  <c:v>2026</c:v>
                </c:pt>
                <c:pt idx="139">
                  <c:v>2027</c:v>
                </c:pt>
                <c:pt idx="140">
                  <c:v>2027</c:v>
                </c:pt>
                <c:pt idx="141">
                  <c:v>2027</c:v>
                </c:pt>
                <c:pt idx="142">
                  <c:v>2027</c:v>
                </c:pt>
                <c:pt idx="143">
                  <c:v>2027</c:v>
                </c:pt>
                <c:pt idx="144">
                  <c:v>2027</c:v>
                </c:pt>
                <c:pt idx="145">
                  <c:v>2027</c:v>
                </c:pt>
                <c:pt idx="146">
                  <c:v>2027</c:v>
                </c:pt>
                <c:pt idx="147">
                  <c:v>2027</c:v>
                </c:pt>
                <c:pt idx="148">
                  <c:v>2027</c:v>
                </c:pt>
                <c:pt idx="149">
                  <c:v>2027</c:v>
                </c:pt>
                <c:pt idx="150">
                  <c:v>2027</c:v>
                </c:pt>
                <c:pt idx="151">
                  <c:v>2028</c:v>
                </c:pt>
                <c:pt idx="152">
                  <c:v>2028</c:v>
                </c:pt>
                <c:pt idx="153">
                  <c:v>2028</c:v>
                </c:pt>
                <c:pt idx="154">
                  <c:v>2028</c:v>
                </c:pt>
                <c:pt idx="155">
                  <c:v>2028</c:v>
                </c:pt>
                <c:pt idx="156">
                  <c:v>2028</c:v>
                </c:pt>
                <c:pt idx="157">
                  <c:v>2028</c:v>
                </c:pt>
                <c:pt idx="158">
                  <c:v>2028</c:v>
                </c:pt>
                <c:pt idx="159">
                  <c:v>2028</c:v>
                </c:pt>
                <c:pt idx="160">
                  <c:v>2028</c:v>
                </c:pt>
                <c:pt idx="161">
                  <c:v>2028</c:v>
                </c:pt>
                <c:pt idx="162">
                  <c:v>2028</c:v>
                </c:pt>
                <c:pt idx="163">
                  <c:v>2029</c:v>
                </c:pt>
                <c:pt idx="164">
                  <c:v>2029</c:v>
                </c:pt>
                <c:pt idx="165">
                  <c:v>2029</c:v>
                </c:pt>
                <c:pt idx="166">
                  <c:v>2029</c:v>
                </c:pt>
                <c:pt idx="167">
                  <c:v>2029</c:v>
                </c:pt>
                <c:pt idx="168">
                  <c:v>2029</c:v>
                </c:pt>
                <c:pt idx="169">
                  <c:v>2029</c:v>
                </c:pt>
                <c:pt idx="170">
                  <c:v>2029</c:v>
                </c:pt>
                <c:pt idx="171">
                  <c:v>2029</c:v>
                </c:pt>
                <c:pt idx="172">
                  <c:v>2029</c:v>
                </c:pt>
                <c:pt idx="173">
                  <c:v>2029</c:v>
                </c:pt>
                <c:pt idx="174">
                  <c:v>2029</c:v>
                </c:pt>
                <c:pt idx="175">
                  <c:v>2030</c:v>
                </c:pt>
                <c:pt idx="176">
                  <c:v>2030</c:v>
                </c:pt>
                <c:pt idx="177">
                  <c:v>2030</c:v>
                </c:pt>
                <c:pt idx="178">
                  <c:v>2030</c:v>
                </c:pt>
                <c:pt idx="179">
                  <c:v>2030</c:v>
                </c:pt>
                <c:pt idx="180">
                  <c:v>2030</c:v>
                </c:pt>
                <c:pt idx="181">
                  <c:v>2030</c:v>
                </c:pt>
                <c:pt idx="182">
                  <c:v>2030</c:v>
                </c:pt>
                <c:pt idx="183">
                  <c:v>2030</c:v>
                </c:pt>
                <c:pt idx="184">
                  <c:v>2030</c:v>
                </c:pt>
                <c:pt idx="185">
                  <c:v>2030</c:v>
                </c:pt>
                <c:pt idx="186">
                  <c:v>2030</c:v>
                </c:pt>
                <c:pt idx="187">
                  <c:v>2031</c:v>
                </c:pt>
                <c:pt idx="188">
                  <c:v>2031</c:v>
                </c:pt>
                <c:pt idx="189">
                  <c:v>2031</c:v>
                </c:pt>
                <c:pt idx="190">
                  <c:v>2031</c:v>
                </c:pt>
                <c:pt idx="191">
                  <c:v>2031</c:v>
                </c:pt>
                <c:pt idx="192">
                  <c:v>2031</c:v>
                </c:pt>
                <c:pt idx="193">
                  <c:v>2031</c:v>
                </c:pt>
                <c:pt idx="194">
                  <c:v>2031</c:v>
                </c:pt>
                <c:pt idx="195">
                  <c:v>2031</c:v>
                </c:pt>
                <c:pt idx="196">
                  <c:v>2031</c:v>
                </c:pt>
                <c:pt idx="197">
                  <c:v>2031</c:v>
                </c:pt>
                <c:pt idx="198">
                  <c:v>2031</c:v>
                </c:pt>
                <c:pt idx="199">
                  <c:v>2032</c:v>
                </c:pt>
                <c:pt idx="200">
                  <c:v>2032</c:v>
                </c:pt>
                <c:pt idx="201">
                  <c:v>2032</c:v>
                </c:pt>
                <c:pt idx="202">
                  <c:v>2032</c:v>
                </c:pt>
                <c:pt idx="203">
                  <c:v>2032</c:v>
                </c:pt>
                <c:pt idx="204">
                  <c:v>2032</c:v>
                </c:pt>
                <c:pt idx="205">
                  <c:v>2032</c:v>
                </c:pt>
                <c:pt idx="206">
                  <c:v>2032</c:v>
                </c:pt>
                <c:pt idx="207">
                  <c:v>2032</c:v>
                </c:pt>
                <c:pt idx="208">
                  <c:v>2032</c:v>
                </c:pt>
                <c:pt idx="209">
                  <c:v>2032</c:v>
                </c:pt>
                <c:pt idx="210">
                  <c:v>2032</c:v>
                </c:pt>
                <c:pt idx="211">
                  <c:v>2033</c:v>
                </c:pt>
                <c:pt idx="212">
                  <c:v>2033</c:v>
                </c:pt>
                <c:pt idx="213">
                  <c:v>2033</c:v>
                </c:pt>
                <c:pt idx="214">
                  <c:v>2033</c:v>
                </c:pt>
                <c:pt idx="215">
                  <c:v>2033</c:v>
                </c:pt>
                <c:pt idx="216">
                  <c:v>2033</c:v>
                </c:pt>
                <c:pt idx="217">
                  <c:v>2033</c:v>
                </c:pt>
                <c:pt idx="218">
                  <c:v>2033</c:v>
                </c:pt>
                <c:pt idx="219">
                  <c:v>2033</c:v>
                </c:pt>
                <c:pt idx="220">
                  <c:v>2033</c:v>
                </c:pt>
                <c:pt idx="221">
                  <c:v>2033</c:v>
                </c:pt>
                <c:pt idx="222">
                  <c:v>2033</c:v>
                </c:pt>
                <c:pt idx="223">
                  <c:v>2034</c:v>
                </c:pt>
                <c:pt idx="224">
                  <c:v>2034</c:v>
                </c:pt>
                <c:pt idx="225">
                  <c:v>2034</c:v>
                </c:pt>
                <c:pt idx="226">
                  <c:v>2034</c:v>
                </c:pt>
                <c:pt idx="227">
                  <c:v>2034</c:v>
                </c:pt>
                <c:pt idx="228">
                  <c:v>2034</c:v>
                </c:pt>
                <c:pt idx="229">
                  <c:v>2034</c:v>
                </c:pt>
                <c:pt idx="230">
                  <c:v>2034</c:v>
                </c:pt>
                <c:pt idx="231">
                  <c:v>2034</c:v>
                </c:pt>
                <c:pt idx="232">
                  <c:v>2034</c:v>
                </c:pt>
                <c:pt idx="233">
                  <c:v>2034</c:v>
                </c:pt>
                <c:pt idx="234">
                  <c:v>2034</c:v>
                </c:pt>
                <c:pt idx="235">
                  <c:v>2035</c:v>
                </c:pt>
                <c:pt idx="236">
                  <c:v>2035</c:v>
                </c:pt>
                <c:pt idx="237">
                  <c:v>2035</c:v>
                </c:pt>
                <c:pt idx="238">
                  <c:v>2035</c:v>
                </c:pt>
                <c:pt idx="239">
                  <c:v>2035</c:v>
                </c:pt>
                <c:pt idx="240">
                  <c:v>2035</c:v>
                </c:pt>
                <c:pt idx="241">
                  <c:v>2035</c:v>
                </c:pt>
                <c:pt idx="242">
                  <c:v>2035</c:v>
                </c:pt>
                <c:pt idx="243">
                  <c:v>2035</c:v>
                </c:pt>
                <c:pt idx="244">
                  <c:v>2035</c:v>
                </c:pt>
                <c:pt idx="245">
                  <c:v>2035</c:v>
                </c:pt>
                <c:pt idx="246">
                  <c:v>2035</c:v>
                </c:pt>
                <c:pt idx="247">
                  <c:v>2036</c:v>
                </c:pt>
                <c:pt idx="248">
                  <c:v>2036</c:v>
                </c:pt>
                <c:pt idx="249">
                  <c:v>2036</c:v>
                </c:pt>
                <c:pt idx="250">
                  <c:v>2036</c:v>
                </c:pt>
                <c:pt idx="251">
                  <c:v>2036</c:v>
                </c:pt>
                <c:pt idx="252">
                  <c:v>2036</c:v>
                </c:pt>
                <c:pt idx="253">
                  <c:v>2036</c:v>
                </c:pt>
                <c:pt idx="254">
                  <c:v>2036</c:v>
                </c:pt>
                <c:pt idx="255">
                  <c:v>2036</c:v>
                </c:pt>
                <c:pt idx="256">
                  <c:v>2036</c:v>
                </c:pt>
                <c:pt idx="257">
                  <c:v>2036</c:v>
                </c:pt>
                <c:pt idx="258">
                  <c:v>2036</c:v>
                </c:pt>
                <c:pt idx="259">
                  <c:v>2037</c:v>
                </c:pt>
                <c:pt idx="260">
                  <c:v>2037</c:v>
                </c:pt>
                <c:pt idx="261">
                  <c:v>2037</c:v>
                </c:pt>
                <c:pt idx="262">
                  <c:v>2037</c:v>
                </c:pt>
                <c:pt idx="263">
                  <c:v>2037</c:v>
                </c:pt>
                <c:pt idx="264">
                  <c:v>2037</c:v>
                </c:pt>
                <c:pt idx="265">
                  <c:v>2037</c:v>
                </c:pt>
                <c:pt idx="266">
                  <c:v>2037</c:v>
                </c:pt>
                <c:pt idx="267">
                  <c:v>2037</c:v>
                </c:pt>
                <c:pt idx="268">
                  <c:v>2037</c:v>
                </c:pt>
                <c:pt idx="269">
                  <c:v>2037</c:v>
                </c:pt>
                <c:pt idx="270">
                  <c:v>2037</c:v>
                </c:pt>
                <c:pt idx="271">
                  <c:v>2038</c:v>
                </c:pt>
                <c:pt idx="272">
                  <c:v>2038</c:v>
                </c:pt>
                <c:pt idx="273">
                  <c:v>2038</c:v>
                </c:pt>
                <c:pt idx="274">
                  <c:v>2038</c:v>
                </c:pt>
                <c:pt idx="275">
                  <c:v>2038</c:v>
                </c:pt>
                <c:pt idx="276">
                  <c:v>2038</c:v>
                </c:pt>
                <c:pt idx="277">
                  <c:v>2038</c:v>
                </c:pt>
                <c:pt idx="278">
                  <c:v>2038</c:v>
                </c:pt>
                <c:pt idx="279">
                  <c:v>2038</c:v>
                </c:pt>
                <c:pt idx="280">
                  <c:v>2038</c:v>
                </c:pt>
                <c:pt idx="281">
                  <c:v>2038</c:v>
                </c:pt>
                <c:pt idx="282">
                  <c:v>2038</c:v>
                </c:pt>
                <c:pt idx="283">
                  <c:v>2039</c:v>
                </c:pt>
                <c:pt idx="284">
                  <c:v>2039</c:v>
                </c:pt>
                <c:pt idx="285">
                  <c:v>2039</c:v>
                </c:pt>
                <c:pt idx="286">
                  <c:v>2039</c:v>
                </c:pt>
                <c:pt idx="287">
                  <c:v>2039</c:v>
                </c:pt>
                <c:pt idx="288">
                  <c:v>2039</c:v>
                </c:pt>
                <c:pt idx="289">
                  <c:v>2039</c:v>
                </c:pt>
                <c:pt idx="290">
                  <c:v>2039</c:v>
                </c:pt>
                <c:pt idx="291">
                  <c:v>2039</c:v>
                </c:pt>
                <c:pt idx="292">
                  <c:v>2039</c:v>
                </c:pt>
                <c:pt idx="293">
                  <c:v>2039</c:v>
                </c:pt>
                <c:pt idx="294">
                  <c:v>2039</c:v>
                </c:pt>
                <c:pt idx="295">
                  <c:v>2040</c:v>
                </c:pt>
                <c:pt idx="296">
                  <c:v>2040</c:v>
                </c:pt>
                <c:pt idx="297">
                  <c:v>2040</c:v>
                </c:pt>
                <c:pt idx="298">
                  <c:v>2040</c:v>
                </c:pt>
              </c:numCache>
            </c:numRef>
          </c:cat>
          <c:val>
            <c:numRef>
              <c:f>STE_CEA_03!$F$10:$F$311</c:f>
              <c:numCache>
                <c:formatCode>General</c:formatCode>
                <c:ptCount val="302"/>
                <c:pt idx="0">
                  <c:v>0</c:v>
                </c:pt>
                <c:pt idx="1">
                  <c:v>3.6864448682189998E-3</c:v>
                </c:pt>
                <c:pt idx="2">
                  <c:v>7.2950376546199996E-3</c:v>
                </c:pt>
                <c:pt idx="3">
                  <c:v>1.092092122253E-2</c:v>
                </c:pt>
                <c:pt idx="4">
                  <c:v>1.4522987922451E-2</c:v>
                </c:pt>
                <c:pt idx="5">
                  <c:v>1.7912029716778001E-2</c:v>
                </c:pt>
                <c:pt idx="6">
                  <c:v>2.1266178940263999E-2</c:v>
                </c:pt>
                <c:pt idx="7">
                  <c:v>2.4949936124424001E-2</c:v>
                </c:pt>
                <c:pt idx="8">
                  <c:v>3.0109261174125001E-2</c:v>
                </c:pt>
                <c:pt idx="9">
                  <c:v>3.8010505351586003E-2</c:v>
                </c:pt>
                <c:pt idx="10">
                  <c:v>4.9165480257945003E-2</c:v>
                </c:pt>
                <c:pt idx="11">
                  <c:v>6.6943872638749999E-2</c:v>
                </c:pt>
                <c:pt idx="12">
                  <c:v>9.1753190136929993E-2</c:v>
                </c:pt>
                <c:pt idx="13">
                  <c:v>0.12672162639303899</c:v>
                </c:pt>
                <c:pt idx="14">
                  <c:v>0.17127090309406701</c:v>
                </c:pt>
                <c:pt idx="15">
                  <c:v>0.228206730205751</c:v>
                </c:pt>
                <c:pt idx="16">
                  <c:v>0.294885864893003</c:v>
                </c:pt>
                <c:pt idx="17">
                  <c:v>0.36591536475135999</c:v>
                </c:pt>
                <c:pt idx="18">
                  <c:v>0.44393724097924298</c:v>
                </c:pt>
                <c:pt idx="19">
                  <c:v>0.52552780987676995</c:v>
                </c:pt>
                <c:pt idx="20">
                  <c:v>0.61406098214056504</c:v>
                </c:pt>
                <c:pt idx="21">
                  <c:v>0.70717580276537595</c:v>
                </c:pt>
                <c:pt idx="22">
                  <c:v>0.79526213760227604</c:v>
                </c:pt>
                <c:pt idx="23">
                  <c:v>0.89773255117111606</c:v>
                </c:pt>
                <c:pt idx="24">
                  <c:v>1.0012040392291399</c:v>
                </c:pt>
                <c:pt idx="25">
                  <c:v>1.1094805952836599</c:v>
                </c:pt>
                <c:pt idx="26">
                  <c:v>1.2210065235469501</c:v>
                </c:pt>
                <c:pt idx="27">
                  <c:v>1.33674942238506</c:v>
                </c:pt>
                <c:pt idx="28">
                  <c:v>1.4566696012268501</c:v>
                </c:pt>
                <c:pt idx="29">
                  <c:v>1.5723199729709401</c:v>
                </c:pt>
                <c:pt idx="30">
                  <c:v>1.68144121627923</c:v>
                </c:pt>
                <c:pt idx="31">
                  <c:v>1.7874009027722599</c:v>
                </c:pt>
                <c:pt idx="32">
                  <c:v>1.89722151858899</c:v>
                </c:pt>
                <c:pt idx="33">
                  <c:v>2.00826144536255</c:v>
                </c:pt>
                <c:pt idx="34">
                  <c:v>2.1098448444176698</c:v>
                </c:pt>
                <c:pt idx="35">
                  <c:v>2.2255747787657598</c:v>
                </c:pt>
                <c:pt idx="36">
                  <c:v>2.3420918964384101</c:v>
                </c:pt>
                <c:pt idx="37">
                  <c:v>2.4627876677275702</c:v>
                </c:pt>
                <c:pt idx="38">
                  <c:v>2.5925464247764198</c:v>
                </c:pt>
                <c:pt idx="39">
                  <c:v>2.73058506027576</c:v>
                </c:pt>
                <c:pt idx="40">
                  <c:v>2.8766311280188201</c:v>
                </c:pt>
                <c:pt idx="41">
                  <c:v>3.0148843904165701</c:v>
                </c:pt>
                <c:pt idx="42">
                  <c:v>3.1359180895534</c:v>
                </c:pt>
                <c:pt idx="43">
                  <c:v>3.2509142371445399</c:v>
                </c:pt>
                <c:pt idx="44">
                  <c:v>3.3684945335243501</c:v>
                </c:pt>
                <c:pt idx="45">
                  <c:v>3.4864263425003599</c:v>
                </c:pt>
                <c:pt idx="46">
                  <c:v>3.5937442543582798</c:v>
                </c:pt>
                <c:pt idx="47">
                  <c:v>3.7158348405254298</c:v>
                </c:pt>
                <c:pt idx="48">
                  <c:v>3.8389390871323901</c:v>
                </c:pt>
                <c:pt idx="49">
                  <c:v>3.9643608477100698</c:v>
                </c:pt>
                <c:pt idx="50">
                  <c:v>4.1034175987734098</c:v>
                </c:pt>
                <c:pt idx="51">
                  <c:v>4.2490685264987196</c:v>
                </c:pt>
                <c:pt idx="52">
                  <c:v>4.4023303242145104</c:v>
                </c:pt>
                <c:pt idx="53">
                  <c:v>4.5445616879998898</c:v>
                </c:pt>
                <c:pt idx="54">
                  <c:v>4.6573513817043199</c:v>
                </c:pt>
                <c:pt idx="55">
                  <c:v>4.7611162086887697</c:v>
                </c:pt>
                <c:pt idx="56">
                  <c:v>4.8651080647939704</c:v>
                </c:pt>
                <c:pt idx="57">
                  <c:v>4.9682146081219702</c:v>
                </c:pt>
                <c:pt idx="58">
                  <c:v>5.0647381119411703</c:v>
                </c:pt>
                <c:pt idx="59">
                  <c:v>5.1726031667244001</c:v>
                </c:pt>
                <c:pt idx="60">
                  <c:v>5.2834253873641099</c:v>
                </c:pt>
                <c:pt idx="61">
                  <c:v>5.3980519002168696</c:v>
                </c:pt>
                <c:pt idx="62">
                  <c:v>5.5301222846411298</c:v>
                </c:pt>
                <c:pt idx="63">
                  <c:v>5.6725058625494098</c:v>
                </c:pt>
                <c:pt idx="64">
                  <c:v>5.8240227054392202</c:v>
                </c:pt>
                <c:pt idx="65">
                  <c:v>5.9610417160882596</c:v>
                </c:pt>
                <c:pt idx="66">
                  <c:v>6.06303078907691</c:v>
                </c:pt>
                <c:pt idx="67">
                  <c:v>6.1528876419272098</c:v>
                </c:pt>
                <c:pt idx="68">
                  <c:v>6.2420985183068796</c:v>
                </c:pt>
                <c:pt idx="69">
                  <c:v>6.3304786417854499</c:v>
                </c:pt>
                <c:pt idx="70">
                  <c:v>6.41067569727677</c:v>
                </c:pt>
                <c:pt idx="71">
                  <c:v>6.50555666525507</c:v>
                </c:pt>
                <c:pt idx="72">
                  <c:v>6.6057849713460204</c:v>
                </c:pt>
                <c:pt idx="73">
                  <c:v>6.7095266369069</c:v>
                </c:pt>
                <c:pt idx="74">
                  <c:v>6.8363179205346798</c:v>
                </c:pt>
                <c:pt idx="75">
                  <c:v>6.9737365079611999</c:v>
                </c:pt>
                <c:pt idx="76">
                  <c:v>7.1212808735919699</c:v>
                </c:pt>
                <c:pt idx="77">
                  <c:v>7.2526779633924203</c:v>
                </c:pt>
                <c:pt idx="78">
                  <c:v>7.3402010282526504</c:v>
                </c:pt>
                <c:pt idx="79">
                  <c:v>7.41450786182605</c:v>
                </c:pt>
                <c:pt idx="80">
                  <c:v>7.4872963927408902</c:v>
                </c:pt>
                <c:pt idx="81">
                  <c:v>7.5594859497908997</c:v>
                </c:pt>
                <c:pt idx="82">
                  <c:v>7.6254682910334104</c:v>
                </c:pt>
                <c:pt idx="83">
                  <c:v>7.7060123583147098</c:v>
                </c:pt>
                <c:pt idx="84">
                  <c:v>7.7942561686467497</c:v>
                </c:pt>
                <c:pt idx="85">
                  <c:v>7.8857815751331302</c:v>
                </c:pt>
                <c:pt idx="86">
                  <c:v>8.0054792282907705</c:v>
                </c:pt>
                <c:pt idx="87">
                  <c:v>8.1371082393602006</c:v>
                </c:pt>
                <c:pt idx="88">
                  <c:v>8.28191365871211</c:v>
                </c:pt>
                <c:pt idx="89">
                  <c:v>8.4100987654456905</c:v>
                </c:pt>
                <c:pt idx="90">
                  <c:v>8.4865992508134802</c:v>
                </c:pt>
                <c:pt idx="91">
                  <c:v>8.5488055699181693</c:v>
                </c:pt>
                <c:pt idx="92">
                  <c:v>8.6087092838143793</c:v>
                </c:pt>
                <c:pt idx="93">
                  <c:v>8.6681522629447691</c:v>
                </c:pt>
                <c:pt idx="94">
                  <c:v>8.7229293202746199</c:v>
                </c:pt>
                <c:pt idx="95">
                  <c:v>8.7922373407101801</c:v>
                </c:pt>
                <c:pt idx="96">
                  <c:v>8.8712082649950901</c:v>
                </c:pt>
                <c:pt idx="97">
                  <c:v>8.9532499627260194</c:v>
                </c:pt>
                <c:pt idx="98">
                  <c:v>9.0679530915491995</c:v>
                </c:pt>
                <c:pt idx="99">
                  <c:v>9.1954496734701792</c:v>
                </c:pt>
                <c:pt idx="100">
                  <c:v>9.3375608527752796</c:v>
                </c:pt>
                <c:pt idx="101">
                  <c:v>9.4616921363873097</c:v>
                </c:pt>
                <c:pt idx="102">
                  <c:v>9.5271650228871998</c:v>
                </c:pt>
                <c:pt idx="103">
                  <c:v>9.5774747731953092</c:v>
                </c:pt>
                <c:pt idx="104">
                  <c:v>9.6248044072842909</c:v>
                </c:pt>
                <c:pt idx="105">
                  <c:v>9.6718548777253393</c:v>
                </c:pt>
                <c:pt idx="106">
                  <c:v>9.7178546223361906</c:v>
                </c:pt>
                <c:pt idx="107">
                  <c:v>9.7766346804378408</c:v>
                </c:pt>
                <c:pt idx="108">
                  <c:v>9.8462391083720906</c:v>
                </c:pt>
                <c:pt idx="109">
                  <c:v>9.92085126593871</c:v>
                </c:pt>
                <c:pt idx="110">
                  <c:v>10.030392543110899</c:v>
                </c:pt>
                <c:pt idx="111">
                  <c:v>10.154028846566099</c:v>
                </c:pt>
                <c:pt idx="112">
                  <c:v>10.2926077122933</c:v>
                </c:pt>
                <c:pt idx="113">
                  <c:v>10.410429783570599</c:v>
                </c:pt>
                <c:pt idx="114">
                  <c:v>10.465624049461701</c:v>
                </c:pt>
                <c:pt idx="115">
                  <c:v>10.5050736408706</c:v>
                </c:pt>
                <c:pt idx="116">
                  <c:v>10.5411116418458</c:v>
                </c:pt>
                <c:pt idx="117">
                  <c:v>10.577119008794799</c:v>
                </c:pt>
                <c:pt idx="118">
                  <c:v>10.611846986703</c:v>
                </c:pt>
                <c:pt idx="119">
                  <c:v>10.660862344964199</c:v>
                </c:pt>
                <c:pt idx="120">
                  <c:v>10.722285466109801</c:v>
                </c:pt>
                <c:pt idx="121">
                  <c:v>10.788687605288301</c:v>
                </c:pt>
                <c:pt idx="122">
                  <c:v>10.893504410122301</c:v>
                </c:pt>
                <c:pt idx="123">
                  <c:v>11.0131245664808</c:v>
                </c:pt>
                <c:pt idx="124">
                  <c:v>11.1488397262176</c:v>
                </c:pt>
                <c:pt idx="125">
                  <c:v>11.2624902744432</c:v>
                </c:pt>
                <c:pt idx="126">
                  <c:v>11.3078329022904</c:v>
                </c:pt>
                <c:pt idx="127">
                  <c:v>11.3364822786047</c:v>
                </c:pt>
                <c:pt idx="128">
                  <c:v>11.360822037707401</c:v>
                </c:pt>
                <c:pt idx="129">
                  <c:v>11.384957330570799</c:v>
                </c:pt>
                <c:pt idx="130">
                  <c:v>11.4089691789322</c:v>
                </c:pt>
                <c:pt idx="131">
                  <c:v>11.4466895172422</c:v>
                </c:pt>
                <c:pt idx="132">
                  <c:v>11.498012004161099</c:v>
                </c:pt>
                <c:pt idx="133">
                  <c:v>11.553918159943301</c:v>
                </c:pt>
                <c:pt idx="134">
                  <c:v>11.6510754960958</c:v>
                </c:pt>
                <c:pt idx="135">
                  <c:v>11.7632518071712</c:v>
                </c:pt>
                <c:pt idx="136">
                  <c:v>11.8925809787735</c:v>
                </c:pt>
                <c:pt idx="137">
                  <c:v>11.9993928188571</c:v>
                </c:pt>
                <c:pt idx="138">
                  <c:v>12.033576794097099</c:v>
                </c:pt>
                <c:pt idx="139">
                  <c:v>12.0508595003131</c:v>
                </c:pt>
                <c:pt idx="140">
                  <c:v>12.063483903256399</c:v>
                </c:pt>
                <c:pt idx="141">
                  <c:v>12.0762171988797</c:v>
                </c:pt>
                <c:pt idx="142">
                  <c:v>12.0903081151789</c:v>
                </c:pt>
                <c:pt idx="143">
                  <c:v>12.1178971046384</c:v>
                </c:pt>
                <c:pt idx="144">
                  <c:v>12.1604537456119</c:v>
                </c:pt>
                <c:pt idx="145">
                  <c:v>12.2076135325475</c:v>
                </c:pt>
                <c:pt idx="146">
                  <c:v>12.298664682425301</c:v>
                </c:pt>
                <c:pt idx="147">
                  <c:v>12.4052481531804</c:v>
                </c:pt>
                <c:pt idx="148">
                  <c:v>12.5300131482661</c:v>
                </c:pt>
                <c:pt idx="149">
                  <c:v>12.6318446155164</c:v>
                </c:pt>
                <c:pt idx="150">
                  <c:v>12.657509445808</c:v>
                </c:pt>
                <c:pt idx="151">
                  <c:v>12.6660451788124</c:v>
                </c:pt>
                <c:pt idx="152">
                  <c:v>12.6696162514306</c:v>
                </c:pt>
                <c:pt idx="153">
                  <c:v>12.6735147750581</c:v>
                </c:pt>
                <c:pt idx="154">
                  <c:v>12.6805001819097</c:v>
                </c:pt>
                <c:pt idx="155">
                  <c:v>12.700859105515001</c:v>
                </c:pt>
                <c:pt idx="156">
                  <c:v>12.736571444981401</c:v>
                </c:pt>
                <c:pt idx="157">
                  <c:v>12.778810162647201</c:v>
                </c:pt>
                <c:pt idx="158">
                  <c:v>12.8655812806453</c:v>
                </c:pt>
                <c:pt idx="159">
                  <c:v>12.9687512210372</c:v>
                </c:pt>
                <c:pt idx="160">
                  <c:v>13.089708693069699</c:v>
                </c:pt>
                <c:pt idx="161">
                  <c:v>13.1848593572855</c:v>
                </c:pt>
                <c:pt idx="162">
                  <c:v>13.203214294076099</c:v>
                </c:pt>
                <c:pt idx="163">
                  <c:v>13.2046149336642</c:v>
                </c:pt>
                <c:pt idx="164">
                  <c:v>13.2009781526677</c:v>
                </c:pt>
                <c:pt idx="165">
                  <c:v>13.197921470100701</c:v>
                </c:pt>
                <c:pt idx="166">
                  <c:v>13.198574796563999</c:v>
                </c:pt>
                <c:pt idx="167">
                  <c:v>13.2126911501822</c:v>
                </c:pt>
                <c:pt idx="168">
                  <c:v>13.243026431094201</c:v>
                </c:pt>
                <c:pt idx="169">
                  <c:v>13.2799422369556</c:v>
                </c:pt>
                <c:pt idx="170">
                  <c:v>13.3631610572585</c:v>
                </c:pt>
                <c:pt idx="171">
                  <c:v>13.4631509341254</c:v>
                </c:pt>
                <c:pt idx="172">
                  <c:v>13.5816018302115</c:v>
                </c:pt>
                <c:pt idx="173">
                  <c:v>13.6738119730671</c:v>
                </c:pt>
                <c:pt idx="174">
                  <c:v>13.686727851667801</c:v>
                </c:pt>
                <c:pt idx="175">
                  <c:v>13.6824722620396</c:v>
                </c:pt>
                <c:pt idx="176">
                  <c:v>13.6729446963923</c:v>
                </c:pt>
                <c:pt idx="177">
                  <c:v>13.664118894627199</c:v>
                </c:pt>
                <c:pt idx="178">
                  <c:v>13.659741491526001</c:v>
                </c:pt>
                <c:pt idx="179">
                  <c:v>13.6687531079838</c:v>
                </c:pt>
                <c:pt idx="180">
                  <c:v>13.6947112846659</c:v>
                </c:pt>
                <c:pt idx="181">
                  <c:v>13.7272938273167</c:v>
                </c:pt>
                <c:pt idx="182">
                  <c:v>13.807701757358201</c:v>
                </c:pt>
                <c:pt idx="183">
                  <c:v>13.9052052570865</c:v>
                </c:pt>
                <c:pt idx="184">
                  <c:v>14.021748949113199</c:v>
                </c:pt>
                <c:pt idx="185">
                  <c:v>14.1116527855754</c:v>
                </c:pt>
                <c:pt idx="186">
                  <c:v>14.1200692420785</c:v>
                </c:pt>
                <c:pt idx="187">
                  <c:v>14.1111025592788</c:v>
                </c:pt>
                <c:pt idx="188">
                  <c:v>14.0966539878033</c:v>
                </c:pt>
                <c:pt idx="189">
                  <c:v>14.083001987019699</c:v>
                </c:pt>
                <c:pt idx="190">
                  <c:v>14.0744140139725</c:v>
                </c:pt>
                <c:pt idx="191">
                  <c:v>14.0791637632431</c:v>
                </c:pt>
                <c:pt idx="192">
                  <c:v>14.101485117328499</c:v>
                </c:pt>
                <c:pt idx="193">
                  <c:v>14.130468134281999</c:v>
                </c:pt>
                <c:pt idx="194">
                  <c:v>14.2086094139583</c:v>
                </c:pt>
                <c:pt idx="195">
                  <c:v>14.304134359133201</c:v>
                </c:pt>
                <c:pt idx="196">
                  <c:v>14.419206788151801</c:v>
                </c:pt>
                <c:pt idx="197">
                  <c:v>14.507270200693</c:v>
                </c:pt>
                <c:pt idx="198">
                  <c:v>14.5118933872052</c:v>
                </c:pt>
                <c:pt idx="199">
                  <c:v>14.4989295352546</c:v>
                </c:pt>
                <c:pt idx="200">
                  <c:v>14.480294737864201</c:v>
                </c:pt>
                <c:pt idx="201">
                  <c:v>14.4625325629495</c:v>
                </c:pt>
                <c:pt idx="202">
                  <c:v>14.4503085595258</c:v>
                </c:pt>
                <c:pt idx="203">
                  <c:v>14.452134926187099</c:v>
                </c:pt>
                <c:pt idx="204">
                  <c:v>14.471332684238</c:v>
                </c:pt>
                <c:pt idx="205">
                  <c:v>14.499214603418601</c:v>
                </c:pt>
                <c:pt idx="206">
                  <c:v>14.575910411080599</c:v>
                </c:pt>
                <c:pt idx="207">
                  <c:v>14.6706807970046</c:v>
                </c:pt>
                <c:pt idx="208">
                  <c:v>14.7841923557135</c:v>
                </c:pt>
                <c:pt idx="209">
                  <c:v>14.8675213019969</c:v>
                </c:pt>
                <c:pt idx="210">
                  <c:v>14.868226475211999</c:v>
                </c:pt>
                <c:pt idx="211">
                  <c:v>14.8516142191706</c:v>
                </c:pt>
                <c:pt idx="212">
                  <c:v>14.829377125399301</c:v>
                </c:pt>
                <c:pt idx="213">
                  <c:v>14.8081782114186</c:v>
                </c:pt>
                <c:pt idx="214">
                  <c:v>14.7933555483856</c:v>
                </c:pt>
                <c:pt idx="215">
                  <c:v>14.792074239098699</c:v>
                </c:pt>
                <c:pt idx="216">
                  <c:v>14.8086347872999</c:v>
                </c:pt>
                <c:pt idx="217">
                  <c:v>14.833945022828701</c:v>
                </c:pt>
                <c:pt idx="218">
                  <c:v>14.909105877534</c:v>
                </c:pt>
                <c:pt idx="219">
                  <c:v>15.0025845923336</c:v>
                </c:pt>
                <c:pt idx="220">
                  <c:v>15.115188515700201</c:v>
                </c:pt>
                <c:pt idx="221">
                  <c:v>15.1972393536923</c:v>
                </c:pt>
                <c:pt idx="222">
                  <c:v>15.195112774730701</c:v>
                </c:pt>
                <c:pt idx="223">
                  <c:v>15.1754904298294</c:v>
                </c:pt>
                <c:pt idx="224">
                  <c:v>15.150090858404701</c:v>
                </c:pt>
                <c:pt idx="225">
                  <c:v>15.125783749047001</c:v>
                </c:pt>
                <c:pt idx="226">
                  <c:v>15.1082546622245</c:v>
                </c:pt>
                <c:pt idx="227">
                  <c:v>15.1042604858164</c:v>
                </c:pt>
                <c:pt idx="228">
                  <c:v>15.1185299029092</c:v>
                </c:pt>
                <c:pt idx="229">
                  <c:v>15.1416092698265</c:v>
                </c:pt>
                <c:pt idx="230">
                  <c:v>15.2154798634354</c:v>
                </c:pt>
                <c:pt idx="231">
                  <c:v>15.3078916942092</c:v>
                </c:pt>
                <c:pt idx="232">
                  <c:v>15.4197773214841</c:v>
                </c:pt>
                <c:pt idx="233">
                  <c:v>15.500763894001899</c:v>
                </c:pt>
                <c:pt idx="234">
                  <c:v>15.4961495893674</c:v>
                </c:pt>
                <c:pt idx="235">
                  <c:v>15.4738692639124</c:v>
                </c:pt>
                <c:pt idx="236">
                  <c:v>15.445672077118999</c:v>
                </c:pt>
                <c:pt idx="237">
                  <c:v>15.418613915932299</c:v>
                </c:pt>
                <c:pt idx="238">
                  <c:v>15.398690027180301</c:v>
                </c:pt>
                <c:pt idx="239">
                  <c:v>15.3923021168752</c:v>
                </c:pt>
                <c:pt idx="240">
                  <c:v>15.4045594953906</c:v>
                </c:pt>
                <c:pt idx="241">
                  <c:v>15.4256827971776</c:v>
                </c:pt>
                <c:pt idx="242">
                  <c:v>15.498457490700099</c:v>
                </c:pt>
                <c:pt idx="243">
                  <c:v>15.5899799535437</c:v>
                </c:pt>
                <c:pt idx="244">
                  <c:v>15.701295159466399</c:v>
                </c:pt>
                <c:pt idx="245">
                  <c:v>15.7813870741908</c:v>
                </c:pt>
                <c:pt idx="246">
                  <c:v>15.774565604070901</c:v>
                </c:pt>
                <c:pt idx="247">
                  <c:v>15.749915785827501</c:v>
                </c:pt>
                <c:pt idx="248">
                  <c:v>15.719220554641799</c:v>
                </c:pt>
                <c:pt idx="249">
                  <c:v>15.689704910795101</c:v>
                </c:pt>
                <c:pt idx="250">
                  <c:v>15.667251426555699</c:v>
                </c:pt>
                <c:pt idx="251">
                  <c:v>15.659476907275099</c:v>
                </c:pt>
                <c:pt idx="252">
                  <c:v>15.6699045864857</c:v>
                </c:pt>
                <c:pt idx="253">
                  <c:v>15.6913363821605</c:v>
                </c:pt>
                <c:pt idx="254">
                  <c:v>15.763620895583699</c:v>
                </c:pt>
                <c:pt idx="255">
                  <c:v>15.855285867712301</c:v>
                </c:pt>
                <c:pt idx="256">
                  <c:v>15.965743198781199</c:v>
                </c:pt>
                <c:pt idx="257">
                  <c:v>16.0416322698076</c:v>
                </c:pt>
                <c:pt idx="258">
                  <c:v>16.032128848806099</c:v>
                </c:pt>
                <c:pt idx="259">
                  <c:v>16.0051370388416</c:v>
                </c:pt>
                <c:pt idx="260">
                  <c:v>15.9722115575548</c:v>
                </c:pt>
                <c:pt idx="261">
                  <c:v>15.9406104614991</c:v>
                </c:pt>
                <c:pt idx="262">
                  <c:v>15.917105429900399</c:v>
                </c:pt>
                <c:pt idx="263">
                  <c:v>15.9074274040834</c:v>
                </c:pt>
                <c:pt idx="264">
                  <c:v>15.9162613958579</c:v>
                </c:pt>
                <c:pt idx="265">
                  <c:v>15.936174531773499</c:v>
                </c:pt>
                <c:pt idx="266">
                  <c:v>16.0076534992251</c:v>
                </c:pt>
                <c:pt idx="267">
                  <c:v>16.0986975486414</c:v>
                </c:pt>
                <c:pt idx="268">
                  <c:v>16.208790472103601</c:v>
                </c:pt>
                <c:pt idx="269">
                  <c:v>16.283991091958999</c:v>
                </c:pt>
                <c:pt idx="270">
                  <c:v>16.272699558071999</c:v>
                </c:pt>
                <c:pt idx="271">
                  <c:v>16.243777965989899</c:v>
                </c:pt>
                <c:pt idx="272">
                  <c:v>16.2088151653629</c:v>
                </c:pt>
                <c:pt idx="273">
                  <c:v>16.175209987187401</c:v>
                </c:pt>
                <c:pt idx="274">
                  <c:v>16.1499667215455</c:v>
                </c:pt>
                <c:pt idx="275">
                  <c:v>16.138568460159799</c:v>
                </c:pt>
                <c:pt idx="276">
                  <c:v>16.145968295248402</c:v>
                </c:pt>
                <c:pt idx="277">
                  <c:v>16.1645179208085</c:v>
                </c:pt>
                <c:pt idx="278">
                  <c:v>16.235296486300602</c:v>
                </c:pt>
                <c:pt idx="279">
                  <c:v>16.3258132844838</c:v>
                </c:pt>
                <c:pt idx="280">
                  <c:v>16.435617600019398</c:v>
                </c:pt>
                <c:pt idx="281">
                  <c:v>16.5102238146474</c:v>
                </c:pt>
                <c:pt idx="282">
                  <c:v>16.497309931429701</c:v>
                </c:pt>
                <c:pt idx="283">
                  <c:v>16.466630744685499</c:v>
                </c:pt>
                <c:pt idx="284">
                  <c:v>16.429810231227499</c:v>
                </c:pt>
                <c:pt idx="285">
                  <c:v>16.394377354972701</c:v>
                </c:pt>
                <c:pt idx="286">
                  <c:v>16.367549664831799</c:v>
                </c:pt>
                <c:pt idx="287">
                  <c:v>16.354587489503299</c:v>
                </c:pt>
                <c:pt idx="288">
                  <c:v>16.360688857283101</c:v>
                </c:pt>
                <c:pt idx="289">
                  <c:v>16.378006779381401</c:v>
                </c:pt>
                <c:pt idx="290">
                  <c:v>16.448172733288999</c:v>
                </c:pt>
                <c:pt idx="291">
                  <c:v>16.538239855361201</c:v>
                </c:pt>
                <c:pt idx="292">
                  <c:v>16.647817413080901</c:v>
                </c:pt>
                <c:pt idx="293">
                  <c:v>16.72190765281</c:v>
                </c:pt>
                <c:pt idx="294">
                  <c:v>16.707513697742801</c:v>
                </c:pt>
                <c:pt idx="295">
                  <c:v>16.675225312334199</c:v>
                </c:pt>
                <c:pt idx="296">
                  <c:v>16.6367021188534</c:v>
                </c:pt>
                <c:pt idx="297">
                  <c:v>16.599593893930201</c:v>
                </c:pt>
                <c:pt idx="298">
                  <c:v>16.570704351666102</c:v>
                </c:pt>
                <c:pt idx="299">
                  <c:v>16.557093032347101</c:v>
                </c:pt>
                <c:pt idx="300">
                  <c:v>16.5619662570485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71-4DEB-9ABF-C5C7A54CC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567448"/>
        <c:axId val="440567840"/>
      </c:lineChart>
      <c:catAx>
        <c:axId val="44056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567840"/>
        <c:crosses val="autoZero"/>
        <c:auto val="1"/>
        <c:lblAlgn val="ctr"/>
        <c:lblOffset val="100"/>
        <c:noMultiLvlLbl val="0"/>
      </c:catAx>
      <c:valAx>
        <c:axId val="44056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567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276225</xdr:colOff>
      <xdr:row>9</xdr:row>
      <xdr:rowOff>66675</xdr:rowOff>
    </xdr:to>
    <xdr:grpSp>
      <xdr:nvGrpSpPr>
        <xdr:cNvPr id="8193" name="Group 1">
          <a:extLst>
            <a:ext uri="{FF2B5EF4-FFF2-40B4-BE49-F238E27FC236}">
              <a16:creationId xmlns:a16="http://schemas.microsoft.com/office/drawing/2014/main" id="{00000000-0008-0000-0000-000001200000}"/>
            </a:ext>
          </a:extLst>
        </xdr:cNvPr>
        <xdr:cNvGrpSpPr>
          <a:grpSpLocks/>
        </xdr:cNvGrpSpPr>
      </xdr:nvGrpSpPr>
      <xdr:grpSpPr bwMode="auto">
        <a:xfrm>
          <a:off x="0" y="0"/>
          <a:ext cx="1514475" cy="1781175"/>
          <a:chOff x="1811" y="11934"/>
          <a:chExt cx="2908" cy="341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940"/>
          <a:stretch>
            <a:fillRect/>
          </a:stretch>
        </xdr:blipFill>
        <xdr:spPr bwMode="auto">
          <a:xfrm>
            <a:off x="1811" y="13779"/>
            <a:ext cx="2908" cy="156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3" descr="Corporate Carbon Logo - Portrait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40001"/>
          <a:stretch>
            <a:fillRect/>
          </a:stretch>
        </xdr:blipFill>
        <xdr:spPr bwMode="auto">
          <a:xfrm>
            <a:off x="1812" y="11934"/>
            <a:ext cx="2906" cy="186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1962150</xdr:colOff>
      <xdr:row>3</xdr:row>
      <xdr:rowOff>0</xdr:rowOff>
    </xdr:from>
    <xdr:to>
      <xdr:col>1</xdr:col>
      <xdr:colOff>4419600</xdr:colOff>
      <xdr:row>6</xdr:row>
      <xdr:rowOff>161925</xdr:rowOff>
    </xdr:to>
    <xdr:pic>
      <xdr:nvPicPr>
        <xdr:cNvPr id="5" name="Picture 4" descr="0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571500"/>
          <a:ext cx="24574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295275</xdr:colOff>
      <xdr:row>30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5" cy="581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10</xdr:col>
      <xdr:colOff>295275</xdr:colOff>
      <xdr:row>55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6391275" cy="460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373380</xdr:colOff>
      <xdr:row>3</xdr:row>
      <xdr:rowOff>30480</xdr:rowOff>
    </xdr:from>
    <xdr:to>
      <xdr:col>22</xdr:col>
      <xdr:colOff>198739</xdr:colOff>
      <xdr:row>33</xdr:row>
      <xdr:rowOff>46197</xdr:rowOff>
    </xdr:to>
    <xdr:pic>
      <xdr:nvPicPr>
        <xdr:cNvPr id="5" name="Picture 4" descr="A screenshot of a white sheet with numbers and text&#10;&#10;AI-generated content may be incorrect.">
          <a:extLst>
            <a:ext uri="{FF2B5EF4-FFF2-40B4-BE49-F238E27FC236}">
              <a16:creationId xmlns:a16="http://schemas.microsoft.com/office/drawing/2014/main" id="{FE4FE162-C038-49E1-9F31-3DA67E88A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69380" y="579120"/>
          <a:ext cx="7140559" cy="55021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733425</xdr:colOff>
      <xdr:row>7</xdr:row>
      <xdr:rowOff>0</xdr:rowOff>
    </xdr:from>
    <xdr:to>
      <xdr:col>16</xdr:col>
      <xdr:colOff>1257300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600074</xdr:colOff>
      <xdr:row>6</xdr:row>
      <xdr:rowOff>190500</xdr:rowOff>
    </xdr:from>
    <xdr:to>
      <xdr:col>17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590549</xdr:colOff>
      <xdr:row>7</xdr:row>
      <xdr:rowOff>0</xdr:rowOff>
    </xdr:from>
    <xdr:to>
      <xdr:col>16</xdr:col>
      <xdr:colOff>1266824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9525</xdr:rowOff>
    </xdr:from>
    <xdr:to>
      <xdr:col>17</xdr:col>
      <xdr:colOff>0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600074</xdr:colOff>
      <xdr:row>7</xdr:row>
      <xdr:rowOff>9525</xdr:rowOff>
    </xdr:from>
    <xdr:to>
      <xdr:col>16</xdr:col>
      <xdr:colOff>1247775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</xdr:colOff>
      <xdr:row>7</xdr:row>
      <xdr:rowOff>0</xdr:rowOff>
    </xdr:from>
    <xdr:to>
      <xdr:col>16</xdr:col>
      <xdr:colOff>1247775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4. JIN_CEA_01_GENERIC_NO_INIT_CAL_2016_MAN - Output 1" connectionId="3" xr16:uid="{59339030-7B00-4D4C-9DAA-50BA698FAB1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4. JIN_CEA_01_GENERIC_NO_INIT_CAL - Output 1_1" connectionId="2" xr16:uid="{00000000-0016-0000-0800-000000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4. HID_CEA_01_GENERIC_NO_INIT_CAL - Output 1_1" connectionId="1" xr16:uid="{00000000-0016-0000-0900-000001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4. LIS_CEA_01_GENERIC_NO_INIT_CAL - Output 1_1" connectionId="5" xr16:uid="{00000000-0016-0000-0A00-000003000000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4. LIS_CEA_01_GENERIC_NO_INIT_CAL - Output 1" connectionId="4" xr16:uid="{00000000-0016-0000-0A00-000002000000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4. STE_CEA_01_GENERIC_NO_INIT_CAL - Output 1" connectionId="6" xr16:uid="{00000000-0016-0000-0B00-000004000000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4. STE_CEA_02_GENERIC_NO_INIT_CAL - Output 1" connectionId="7" xr16:uid="{00000000-0016-0000-0C00-000005000000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4. STE_CEA_03_GENERIC_NO_INIT_CAL - Output 1" connectionId="8" xr16:uid="{00000000-0016-0000-0D00-000006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Relationship Id="rId4" Type="http://schemas.openxmlformats.org/officeDocument/2006/relationships/queryTable" Target="../queryTables/queryTable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Relationship Id="rId4" Type="http://schemas.openxmlformats.org/officeDocument/2006/relationships/queryTable" Target="../queryTables/queryTable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1:C47"/>
  <sheetViews>
    <sheetView topLeftCell="A8" workbookViewId="0">
      <selection activeCell="G20" sqref="G20"/>
    </sheetView>
  </sheetViews>
  <sheetFormatPr defaultRowHeight="15" x14ac:dyDescent="0.25"/>
  <cols>
    <col min="1" max="1" width="18.5703125" bestFit="1" customWidth="1"/>
    <col min="2" max="2" width="67.42578125" customWidth="1"/>
  </cols>
  <sheetData>
    <row r="11" spans="1:3" ht="25.5" x14ac:dyDescent="0.35">
      <c r="A11" s="74" t="s">
        <v>0</v>
      </c>
    </row>
    <row r="12" spans="1:3" ht="25.5" x14ac:dyDescent="0.35">
      <c r="A12" s="74" t="s">
        <v>1</v>
      </c>
    </row>
    <row r="14" spans="1:3" s="68" customFormat="1" ht="16.5" x14ac:dyDescent="0.3">
      <c r="A14" s="67" t="s">
        <v>2</v>
      </c>
      <c r="B14" s="67" t="s">
        <v>3</v>
      </c>
      <c r="C14"/>
    </row>
    <row r="15" spans="1:3" ht="16.5" x14ac:dyDescent="0.25">
      <c r="A15" s="65" t="s">
        <v>4</v>
      </c>
      <c r="B15" s="65" t="s">
        <v>1</v>
      </c>
    </row>
    <row r="16" spans="1:3" ht="16.5" x14ac:dyDescent="0.25">
      <c r="A16" s="65" t="s">
        <v>5</v>
      </c>
      <c r="B16" s="65" t="s">
        <v>6</v>
      </c>
    </row>
    <row r="17" spans="1:2" ht="16.5" x14ac:dyDescent="0.25">
      <c r="A17" s="65" t="s">
        <v>7</v>
      </c>
      <c r="B17" s="65" t="s">
        <v>8</v>
      </c>
    </row>
    <row r="18" spans="1:2" ht="16.5" x14ac:dyDescent="0.25">
      <c r="A18" s="65" t="s">
        <v>9</v>
      </c>
      <c r="B18" s="66">
        <v>40725</v>
      </c>
    </row>
    <row r="19" spans="1:2" ht="16.5" x14ac:dyDescent="0.25">
      <c r="A19" s="65" t="s">
        <v>10</v>
      </c>
      <c r="B19" s="65" t="s">
        <v>11</v>
      </c>
    </row>
    <row r="20" spans="1:2" ht="16.5" x14ac:dyDescent="0.25">
      <c r="A20" s="65" t="s">
        <v>12</v>
      </c>
      <c r="B20" s="65" t="s">
        <v>13</v>
      </c>
    </row>
    <row r="23" spans="1:2" ht="16.5" x14ac:dyDescent="0.25">
      <c r="A23" s="80" t="s">
        <v>14</v>
      </c>
      <c r="B23" s="80" t="s">
        <v>15</v>
      </c>
    </row>
    <row r="24" spans="1:2" ht="16.5" x14ac:dyDescent="0.25">
      <c r="A24" s="75"/>
      <c r="B24" s="65" t="s">
        <v>16</v>
      </c>
    </row>
    <row r="25" spans="1:2" ht="16.5" x14ac:dyDescent="0.25">
      <c r="A25" s="76"/>
      <c r="B25" s="65" t="s">
        <v>17</v>
      </c>
    </row>
    <row r="26" spans="1:2" ht="16.5" x14ac:dyDescent="0.25">
      <c r="A26" s="78"/>
      <c r="B26" s="65" t="s">
        <v>18</v>
      </c>
    </row>
    <row r="27" spans="1:2" ht="16.5" x14ac:dyDescent="0.25">
      <c r="A27" s="78"/>
      <c r="B27" s="65" t="s">
        <v>19</v>
      </c>
    </row>
    <row r="28" spans="1:2" ht="16.5" x14ac:dyDescent="0.25">
      <c r="A28" s="79"/>
      <c r="B28" s="65" t="s">
        <v>20</v>
      </c>
    </row>
    <row r="29" spans="1:2" ht="16.5" x14ac:dyDescent="0.25">
      <c r="A29" s="79"/>
      <c r="B29" s="65" t="s">
        <v>21</v>
      </c>
    </row>
    <row r="30" spans="1:2" ht="16.5" x14ac:dyDescent="0.25">
      <c r="A30" s="79"/>
      <c r="B30" s="65" t="s">
        <v>22</v>
      </c>
    </row>
    <row r="31" spans="1:2" ht="16.5" x14ac:dyDescent="0.25">
      <c r="A31" s="77"/>
      <c r="B31" s="65" t="s">
        <v>23</v>
      </c>
    </row>
    <row r="32" spans="1:2" x14ac:dyDescent="0.25">
      <c r="A32" s="77"/>
      <c r="B32" s="63"/>
    </row>
    <row r="33" spans="1:2" x14ac:dyDescent="0.25">
      <c r="A33" s="77"/>
      <c r="B33" s="63"/>
    </row>
    <row r="34" spans="1:2" x14ac:dyDescent="0.25">
      <c r="A34" s="77"/>
      <c r="B34" s="63"/>
    </row>
    <row r="35" spans="1:2" x14ac:dyDescent="0.25">
      <c r="A35" s="77"/>
      <c r="B35" s="63"/>
    </row>
    <row r="36" spans="1:2" x14ac:dyDescent="0.25">
      <c r="A36" s="77"/>
      <c r="B36" s="63"/>
    </row>
    <row r="37" spans="1:2" x14ac:dyDescent="0.25">
      <c r="A37" s="77"/>
      <c r="B37" s="63"/>
    </row>
    <row r="38" spans="1:2" x14ac:dyDescent="0.25">
      <c r="A38" s="77"/>
      <c r="B38" s="63"/>
    </row>
    <row r="39" spans="1:2" x14ac:dyDescent="0.25">
      <c r="A39" s="77"/>
      <c r="B39" s="63"/>
    </row>
    <row r="40" spans="1:2" x14ac:dyDescent="0.25">
      <c r="A40" s="77"/>
      <c r="B40" s="63"/>
    </row>
    <row r="41" spans="1:2" x14ac:dyDescent="0.25">
      <c r="A41" s="77"/>
      <c r="B41" s="63"/>
    </row>
    <row r="42" spans="1:2" x14ac:dyDescent="0.25">
      <c r="A42" s="77"/>
      <c r="B42" s="63"/>
    </row>
    <row r="43" spans="1:2" x14ac:dyDescent="0.25">
      <c r="A43" s="77"/>
      <c r="B43" s="63"/>
    </row>
    <row r="44" spans="1:2" x14ac:dyDescent="0.25">
      <c r="A44" s="77"/>
      <c r="B44" s="63"/>
    </row>
    <row r="45" spans="1:2" x14ac:dyDescent="0.25">
      <c r="A45" s="77"/>
      <c r="B45" s="63"/>
    </row>
    <row r="46" spans="1:2" x14ac:dyDescent="0.25">
      <c r="A46" s="77"/>
      <c r="B46" s="63"/>
    </row>
    <row r="47" spans="1:2" x14ac:dyDescent="0.25">
      <c r="A47" s="77"/>
      <c r="B47" s="6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3:J16"/>
  <sheetViews>
    <sheetView zoomScaleNormal="100" workbookViewId="0">
      <selection activeCell="B7" sqref="B7"/>
    </sheetView>
  </sheetViews>
  <sheetFormatPr defaultRowHeight="15" x14ac:dyDescent="0.25"/>
  <cols>
    <col min="1" max="1" width="24.5703125" customWidth="1"/>
    <col min="2" max="2" width="78" bestFit="1" customWidth="1"/>
    <col min="3" max="3" width="12.5703125" customWidth="1"/>
    <col min="4" max="4" width="8.7109375" customWidth="1"/>
    <col min="5" max="5" width="9.85546875" customWidth="1"/>
  </cols>
  <sheetData>
    <row r="3" spans="1:10" ht="16.5" x14ac:dyDescent="0.3">
      <c r="A3" s="64" t="s">
        <v>24</v>
      </c>
    </row>
    <row r="4" spans="1:10" s="68" customFormat="1" ht="16.5" x14ac:dyDescent="0.3">
      <c r="A4" s="67" t="s">
        <v>25</v>
      </c>
      <c r="B4" s="67" t="s">
        <v>26</v>
      </c>
      <c r="C4" s="73" t="s">
        <v>27</v>
      </c>
      <c r="D4" s="73" t="s">
        <v>15</v>
      </c>
    </row>
    <row r="5" spans="1:10" ht="16.5" x14ac:dyDescent="0.3">
      <c r="A5" s="23" t="s">
        <v>28</v>
      </c>
      <c r="B5" s="23" t="s">
        <v>29</v>
      </c>
      <c r="C5" s="100">
        <f>'Abatement - Report 8'!AD13</f>
        <v>26959.689123067437</v>
      </c>
      <c r="D5" s="48" t="s">
        <v>30</v>
      </c>
    </row>
    <row r="6" spans="1:10" ht="16.5" x14ac:dyDescent="0.3">
      <c r="A6" s="23" t="s">
        <v>31</v>
      </c>
      <c r="B6" s="23" t="s">
        <v>32</v>
      </c>
      <c r="C6" s="100">
        <f>'Project Emissions'!G17</f>
        <v>1.5931606873259971</v>
      </c>
      <c r="D6" s="48" t="s">
        <v>33</v>
      </c>
    </row>
    <row r="7" spans="1:10" ht="16.5" x14ac:dyDescent="0.3">
      <c r="A7" s="23" t="s">
        <v>34</v>
      </c>
      <c r="B7" s="23" t="s">
        <v>35</v>
      </c>
      <c r="C7" s="100">
        <f>'Fuel Emissions'!E32</f>
        <v>30.353698299999998</v>
      </c>
      <c r="D7" s="48" t="s">
        <v>36</v>
      </c>
      <c r="J7" s="126"/>
    </row>
    <row r="8" spans="1:10" ht="16.5" x14ac:dyDescent="0.3">
      <c r="A8" s="23" t="s">
        <v>37</v>
      </c>
      <c r="B8" s="23" t="s">
        <v>38</v>
      </c>
      <c r="C8" s="100">
        <f>'Abatement - Report 3'!F13</f>
        <v>3.8913840386212892</v>
      </c>
      <c r="D8" s="48" t="s">
        <v>39</v>
      </c>
    </row>
    <row r="9" spans="1:10" ht="16.5" x14ac:dyDescent="0.3">
      <c r="A9" s="23" t="s">
        <v>40</v>
      </c>
      <c r="B9" s="23" t="s">
        <v>41</v>
      </c>
      <c r="C9" s="100">
        <f>'Abatement - Report 8'!AA13</f>
        <v>24934.473168683911</v>
      </c>
      <c r="D9" s="48" t="s">
        <v>42</v>
      </c>
    </row>
    <row r="10" spans="1:10" ht="16.5" x14ac:dyDescent="0.3">
      <c r="A10" s="23"/>
      <c r="B10" s="23" t="s">
        <v>43</v>
      </c>
      <c r="C10" s="100"/>
      <c r="D10" s="48"/>
    </row>
    <row r="11" spans="1:10" ht="16.5" x14ac:dyDescent="0.3">
      <c r="A11" s="23" t="s">
        <v>44</v>
      </c>
      <c r="B11" s="23" t="s">
        <v>45</v>
      </c>
      <c r="C11" s="100">
        <f>C5-C6-C7-C8-C9</f>
        <v>1989.3777113575743</v>
      </c>
      <c r="D11" s="48" t="s">
        <v>46</v>
      </c>
      <c r="E11" s="126">
        <f>C11/(44/12)</f>
        <v>542.55755764297487</v>
      </c>
    </row>
    <row r="12" spans="1:10" x14ac:dyDescent="0.25">
      <c r="C12" s="112"/>
      <c r="D12" s="72"/>
      <c r="E12" s="126"/>
    </row>
    <row r="13" spans="1:10" x14ac:dyDescent="0.25">
      <c r="C13" s="112"/>
      <c r="D13" s="72"/>
      <c r="E13" s="126"/>
    </row>
    <row r="14" spans="1:10" ht="16.5" x14ac:dyDescent="0.3">
      <c r="A14" s="23"/>
      <c r="B14" s="23" t="s">
        <v>47</v>
      </c>
      <c r="C14" s="100">
        <f>C5-C9</f>
        <v>2025.215954383526</v>
      </c>
      <c r="D14" s="48" t="s">
        <v>48</v>
      </c>
      <c r="E14" s="126">
        <f>C14/(44/12)</f>
        <v>552.33162392277984</v>
      </c>
    </row>
    <row r="16" spans="1:10" ht="16.5" x14ac:dyDescent="0.3">
      <c r="A16" s="144" t="s">
        <v>49</v>
      </c>
      <c r="B16" s="23" t="s">
        <v>50</v>
      </c>
      <c r="C16" s="145">
        <f>(1-0.25)*C11</f>
        <v>1492.0332835181807</v>
      </c>
      <c r="D16" s="63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I61"/>
  <sheetViews>
    <sheetView topLeftCell="A12" zoomScale="85" zoomScaleNormal="85" workbookViewId="0">
      <selection activeCell="A5" sqref="A5"/>
    </sheetView>
  </sheetViews>
  <sheetFormatPr defaultColWidth="9" defaultRowHeight="16.5" x14ac:dyDescent="0.25"/>
  <cols>
    <col min="1" max="1" width="20.28515625" style="3" customWidth="1"/>
    <col min="2" max="2" width="27" style="1" customWidth="1"/>
    <col min="3" max="8" width="19.140625" style="31" customWidth="1"/>
    <col min="9" max="16384" width="9" style="29"/>
  </cols>
  <sheetData>
    <row r="1" spans="1:9" x14ac:dyDescent="0.25">
      <c r="A1" s="24" t="s">
        <v>51</v>
      </c>
      <c r="B1" s="24" t="s">
        <v>52</v>
      </c>
      <c r="C1" s="28" t="s">
        <v>53</v>
      </c>
      <c r="D1" s="28" t="s">
        <v>54</v>
      </c>
      <c r="E1" s="28" t="s">
        <v>55</v>
      </c>
      <c r="F1" s="28" t="s">
        <v>56</v>
      </c>
      <c r="G1" s="28" t="s">
        <v>57</v>
      </c>
      <c r="H1" s="28" t="s">
        <v>58</v>
      </c>
    </row>
    <row r="2" spans="1:9" x14ac:dyDescent="0.25">
      <c r="A2" s="25"/>
      <c r="B2" s="25" t="s">
        <v>59</v>
      </c>
      <c r="C2" s="30" t="s">
        <v>60</v>
      </c>
      <c r="D2" s="30" t="s">
        <v>60</v>
      </c>
      <c r="E2" s="30" t="s">
        <v>60</v>
      </c>
      <c r="F2" s="30" t="s">
        <v>61</v>
      </c>
      <c r="G2" s="30" t="s">
        <v>62</v>
      </c>
      <c r="H2" s="30" t="s">
        <v>63</v>
      </c>
    </row>
    <row r="3" spans="1:9" x14ac:dyDescent="0.25">
      <c r="A3" s="26"/>
      <c r="B3" s="25" t="s">
        <v>64</v>
      </c>
      <c r="C3" s="82">
        <v>42095</v>
      </c>
      <c r="D3" s="82">
        <v>42095</v>
      </c>
      <c r="E3" s="82">
        <v>42095</v>
      </c>
      <c r="F3" s="82">
        <v>42090</v>
      </c>
      <c r="G3" s="82">
        <v>40909</v>
      </c>
      <c r="H3" s="82">
        <v>40391</v>
      </c>
    </row>
    <row r="4" spans="1:9" x14ac:dyDescent="0.25">
      <c r="A4" s="26"/>
      <c r="B4" s="25" t="s">
        <v>65</v>
      </c>
      <c r="C4" s="85">
        <v>42125</v>
      </c>
      <c r="D4" s="85">
        <v>42125</v>
      </c>
      <c r="E4" s="85">
        <v>42125</v>
      </c>
      <c r="F4" s="85">
        <v>42095</v>
      </c>
      <c r="G4" s="85">
        <v>40940</v>
      </c>
      <c r="H4" s="85">
        <v>40422</v>
      </c>
    </row>
    <row r="5" spans="1:9" s="150" customFormat="1" x14ac:dyDescent="0.25">
      <c r="A5" s="146"/>
      <c r="B5" s="147" t="s">
        <v>66</v>
      </c>
      <c r="C5" s="148">
        <v>13.77</v>
      </c>
      <c r="D5" s="148">
        <v>24.62</v>
      </c>
      <c r="E5" s="148">
        <v>66.16</v>
      </c>
      <c r="F5" s="148">
        <v>8.76</v>
      </c>
      <c r="G5" s="149">
        <v>2.7</v>
      </c>
      <c r="H5" s="148">
        <v>3.24</v>
      </c>
      <c r="I5" s="150">
        <f>SUM(C5:H5)</f>
        <v>119.25</v>
      </c>
    </row>
    <row r="6" spans="1:9" x14ac:dyDescent="0.25">
      <c r="A6" s="26"/>
      <c r="B6" s="25" t="s">
        <v>67</v>
      </c>
      <c r="C6" s="151">
        <v>575.01</v>
      </c>
      <c r="D6" s="152"/>
      <c r="E6" s="153"/>
      <c r="F6" s="81">
        <v>366.55</v>
      </c>
      <c r="G6" s="81">
        <v>276.45</v>
      </c>
      <c r="H6" s="81">
        <v>456.08</v>
      </c>
      <c r="I6" s="29">
        <f>SUM(C6:H6)</f>
        <v>1674.09</v>
      </c>
    </row>
    <row r="7" spans="1:9" ht="33" x14ac:dyDescent="0.25">
      <c r="A7" s="26"/>
      <c r="B7" s="25" t="s">
        <v>68</v>
      </c>
      <c r="C7" s="30" t="s">
        <v>69</v>
      </c>
      <c r="D7" s="30" t="s">
        <v>69</v>
      </c>
      <c r="E7" s="30" t="s">
        <v>69</v>
      </c>
      <c r="F7" s="30" t="s">
        <v>69</v>
      </c>
      <c r="G7" s="30" t="s">
        <v>69</v>
      </c>
      <c r="H7" s="30" t="s">
        <v>69</v>
      </c>
      <c r="I7" s="89">
        <f>SUM(I5:I6)</f>
        <v>1793.34</v>
      </c>
    </row>
    <row r="8" spans="1:9" x14ac:dyDescent="0.25">
      <c r="A8" s="26"/>
      <c r="B8" s="25" t="s">
        <v>70</v>
      </c>
      <c r="C8" s="30" t="s">
        <v>71</v>
      </c>
      <c r="D8" s="30" t="s">
        <v>71</v>
      </c>
      <c r="E8" s="30" t="s">
        <v>71</v>
      </c>
      <c r="F8" s="30" t="s">
        <v>71</v>
      </c>
      <c r="G8" s="30" t="s">
        <v>71</v>
      </c>
      <c r="H8" s="30" t="s">
        <v>71</v>
      </c>
    </row>
    <row r="9" spans="1:9" ht="33" x14ac:dyDescent="0.25">
      <c r="A9" s="26">
        <v>1.4</v>
      </c>
      <c r="B9" s="25" t="s">
        <v>72</v>
      </c>
      <c r="C9" s="27" t="s">
        <v>73</v>
      </c>
      <c r="D9" s="27" t="s">
        <v>73</v>
      </c>
      <c r="E9" s="27" t="s">
        <v>73</v>
      </c>
      <c r="F9" s="27" t="s">
        <v>73</v>
      </c>
      <c r="G9" s="27" t="s">
        <v>73</v>
      </c>
      <c r="H9" s="27" t="s">
        <v>73</v>
      </c>
    </row>
    <row r="10" spans="1:9" ht="52.5" customHeight="1" x14ac:dyDescent="0.25">
      <c r="A10" s="26" t="s">
        <v>74</v>
      </c>
      <c r="B10" s="25" t="s">
        <v>75</v>
      </c>
      <c r="C10" s="27" t="s">
        <v>76</v>
      </c>
      <c r="D10" s="27" t="s">
        <v>76</v>
      </c>
      <c r="E10" s="27" t="s">
        <v>76</v>
      </c>
      <c r="F10" s="27" t="s">
        <v>76</v>
      </c>
      <c r="G10" s="27" t="s">
        <v>76</v>
      </c>
      <c r="H10" s="27" t="s">
        <v>76</v>
      </c>
    </row>
    <row r="11" spans="1:9" x14ac:dyDescent="0.25">
      <c r="A11" s="26"/>
      <c r="B11" s="25" t="s">
        <v>77</v>
      </c>
      <c r="C11" s="30" t="s">
        <v>78</v>
      </c>
      <c r="D11" s="30" t="s">
        <v>78</v>
      </c>
      <c r="E11" s="30" t="s">
        <v>78</v>
      </c>
      <c r="F11" s="30" t="s">
        <v>78</v>
      </c>
      <c r="G11" s="30" t="s">
        <v>78</v>
      </c>
      <c r="H11" s="30" t="s">
        <v>78</v>
      </c>
    </row>
    <row r="12" spans="1:9" x14ac:dyDescent="0.25">
      <c r="A12" s="26"/>
      <c r="B12" s="25" t="s">
        <v>79</v>
      </c>
      <c r="C12" s="30" t="s">
        <v>80</v>
      </c>
      <c r="D12" s="30" t="s">
        <v>80</v>
      </c>
      <c r="E12" s="30" t="s">
        <v>80</v>
      </c>
      <c r="F12" s="30" t="s">
        <v>80</v>
      </c>
      <c r="G12" s="30" t="s">
        <v>80</v>
      </c>
      <c r="H12" s="30" t="s">
        <v>80</v>
      </c>
    </row>
    <row r="13" spans="1:9" ht="33" x14ac:dyDescent="0.25">
      <c r="A13" s="26" t="s">
        <v>81</v>
      </c>
      <c r="B13" s="25" t="s">
        <v>82</v>
      </c>
      <c r="C13" s="30" t="s">
        <v>78</v>
      </c>
      <c r="D13" s="30" t="s">
        <v>78</v>
      </c>
      <c r="E13" s="30" t="s">
        <v>78</v>
      </c>
      <c r="F13" s="30" t="s">
        <v>78</v>
      </c>
      <c r="G13" s="30" t="s">
        <v>78</v>
      </c>
      <c r="H13" s="30" t="s">
        <v>78</v>
      </c>
    </row>
    <row r="14" spans="1:9" ht="33.75" thickBot="1" x14ac:dyDescent="0.3">
      <c r="A14" s="26" t="s">
        <v>83</v>
      </c>
      <c r="B14" s="25" t="s">
        <v>84</v>
      </c>
      <c r="C14" s="30" t="s">
        <v>78</v>
      </c>
      <c r="D14" s="30" t="s">
        <v>78</v>
      </c>
      <c r="E14" s="30" t="s">
        <v>78</v>
      </c>
      <c r="F14" s="30" t="s">
        <v>78</v>
      </c>
      <c r="G14" s="30" t="s">
        <v>78</v>
      </c>
      <c r="H14" s="30" t="s">
        <v>78</v>
      </c>
    </row>
    <row r="15" spans="1:9" ht="216.75" thickBot="1" x14ac:dyDescent="0.3">
      <c r="A15" s="26"/>
      <c r="B15" s="25" t="s">
        <v>85</v>
      </c>
      <c r="C15" s="84" t="s">
        <v>86</v>
      </c>
      <c r="D15" s="84" t="s">
        <v>86</v>
      </c>
      <c r="E15" s="84" t="s">
        <v>86</v>
      </c>
      <c r="F15" s="84" t="s">
        <v>87</v>
      </c>
      <c r="G15" s="84" t="s">
        <v>88</v>
      </c>
      <c r="H15" s="84" t="s">
        <v>89</v>
      </c>
    </row>
    <row r="16" spans="1:9" ht="94.5" x14ac:dyDescent="0.25">
      <c r="A16" s="26"/>
      <c r="B16" s="25" t="s">
        <v>90</v>
      </c>
      <c r="C16" s="27" t="s">
        <v>91</v>
      </c>
      <c r="D16" s="27" t="s">
        <v>92</v>
      </c>
      <c r="E16" s="27" t="s">
        <v>93</v>
      </c>
      <c r="F16" s="27" t="s">
        <v>94</v>
      </c>
      <c r="G16" s="27" t="s">
        <v>95</v>
      </c>
      <c r="H16" s="90" t="s">
        <v>96</v>
      </c>
    </row>
    <row r="17" spans="1:8" x14ac:dyDescent="0.25">
      <c r="A17" s="26"/>
      <c r="B17" s="25" t="s">
        <v>97</v>
      </c>
      <c r="C17" s="30" t="s">
        <v>98</v>
      </c>
      <c r="D17" s="30" t="s">
        <v>98</v>
      </c>
      <c r="E17" s="30" t="s">
        <v>98</v>
      </c>
      <c r="F17" s="30" t="s">
        <v>99</v>
      </c>
      <c r="G17" s="30" t="s">
        <v>100</v>
      </c>
      <c r="H17" s="30" t="s">
        <v>101</v>
      </c>
    </row>
    <row r="18" spans="1:8" x14ac:dyDescent="0.25">
      <c r="A18" s="26"/>
      <c r="B18" s="25" t="s">
        <v>102</v>
      </c>
      <c r="C18" s="30" t="s">
        <v>103</v>
      </c>
      <c r="D18" s="30" t="s">
        <v>103</v>
      </c>
      <c r="E18" s="30" t="s">
        <v>103</v>
      </c>
      <c r="F18" s="30" t="s">
        <v>104</v>
      </c>
      <c r="G18" s="30" t="s">
        <v>105</v>
      </c>
      <c r="H18" s="30" t="s">
        <v>106</v>
      </c>
    </row>
    <row r="19" spans="1:8" x14ac:dyDescent="0.25">
      <c r="A19" s="26"/>
      <c r="B19" s="25" t="s">
        <v>107</v>
      </c>
      <c r="C19" s="30" t="s">
        <v>108</v>
      </c>
      <c r="D19" s="30" t="s">
        <v>108</v>
      </c>
      <c r="E19" s="30" t="s">
        <v>108</v>
      </c>
      <c r="F19" s="30" t="s">
        <v>108</v>
      </c>
      <c r="G19" s="30" t="s">
        <v>109</v>
      </c>
      <c r="H19" s="30" t="s">
        <v>110</v>
      </c>
    </row>
    <row r="20" spans="1:8" x14ac:dyDescent="0.25">
      <c r="A20" s="26"/>
      <c r="B20" s="25" t="s">
        <v>111</v>
      </c>
      <c r="C20" s="30" t="s">
        <v>112</v>
      </c>
      <c r="D20" s="30" t="s">
        <v>112</v>
      </c>
      <c r="E20" s="30" t="s">
        <v>112</v>
      </c>
      <c r="F20" s="30" t="s">
        <v>112</v>
      </c>
      <c r="G20" s="30" t="s">
        <v>112</v>
      </c>
      <c r="H20" s="30" t="s">
        <v>112</v>
      </c>
    </row>
    <row r="21" spans="1:8" ht="49.5" x14ac:dyDescent="0.25">
      <c r="A21" s="26"/>
      <c r="B21" s="25" t="s">
        <v>113</v>
      </c>
      <c r="C21" s="30" t="s">
        <v>90</v>
      </c>
      <c r="D21" s="30" t="s">
        <v>90</v>
      </c>
      <c r="E21" s="30" t="s">
        <v>90</v>
      </c>
      <c r="F21" s="30" t="s">
        <v>114</v>
      </c>
      <c r="G21" s="30" t="s">
        <v>90</v>
      </c>
      <c r="H21" s="30" t="s">
        <v>115</v>
      </c>
    </row>
    <row r="22" spans="1:8" x14ac:dyDescent="0.25">
      <c r="A22" s="26"/>
      <c r="B22" s="25" t="s">
        <v>116</v>
      </c>
      <c r="C22" s="27" t="s">
        <v>117</v>
      </c>
      <c r="D22" s="27" t="s">
        <v>117</v>
      </c>
      <c r="E22" s="27" t="s">
        <v>117</v>
      </c>
      <c r="F22" s="27" t="s">
        <v>117</v>
      </c>
      <c r="G22" s="27" t="s">
        <v>117</v>
      </c>
      <c r="H22" s="27" t="s">
        <v>117</v>
      </c>
    </row>
    <row r="23" spans="1:8" x14ac:dyDescent="0.25">
      <c r="A23" s="26"/>
      <c r="B23" s="25" t="s">
        <v>118</v>
      </c>
      <c r="C23" s="30" t="s">
        <v>119</v>
      </c>
      <c r="D23" s="30" t="s">
        <v>119</v>
      </c>
      <c r="E23" s="30" t="s">
        <v>119</v>
      </c>
      <c r="F23" s="30" t="s">
        <v>119</v>
      </c>
      <c r="G23" s="30" t="s">
        <v>119</v>
      </c>
      <c r="H23" s="30" t="s">
        <v>119</v>
      </c>
    </row>
    <row r="24" spans="1:8" x14ac:dyDescent="0.25">
      <c r="A24" s="26"/>
      <c r="B24" s="25" t="s">
        <v>120</v>
      </c>
      <c r="C24" s="81">
        <v>4</v>
      </c>
      <c r="D24" s="81">
        <v>4</v>
      </c>
      <c r="E24" s="81">
        <v>4</v>
      </c>
      <c r="F24" s="81">
        <v>3</v>
      </c>
      <c r="G24" s="81">
        <v>4</v>
      </c>
      <c r="H24" s="81">
        <v>4</v>
      </c>
    </row>
    <row r="25" spans="1:8" x14ac:dyDescent="0.25">
      <c r="A25" s="26"/>
      <c r="B25" s="25" t="s">
        <v>121</v>
      </c>
      <c r="C25" s="81">
        <v>4</v>
      </c>
      <c r="D25" s="81">
        <v>4</v>
      </c>
      <c r="E25" s="81">
        <v>4</v>
      </c>
      <c r="F25" s="81">
        <v>4.0999999999999996</v>
      </c>
      <c r="G25" s="81">
        <v>4</v>
      </c>
      <c r="H25" s="81">
        <v>6</v>
      </c>
    </row>
    <row r="26" spans="1:8" ht="26.25" customHeight="1" x14ac:dyDescent="0.25">
      <c r="A26" s="26"/>
      <c r="B26" s="25" t="s">
        <v>122</v>
      </c>
      <c r="C26" s="30" t="s">
        <v>123</v>
      </c>
      <c r="D26" s="30" t="s">
        <v>123</v>
      </c>
      <c r="E26" s="30" t="s">
        <v>123</v>
      </c>
      <c r="F26" s="30" t="s">
        <v>123</v>
      </c>
      <c r="G26" s="30" t="s">
        <v>123</v>
      </c>
      <c r="H26" s="30" t="s">
        <v>123</v>
      </c>
    </row>
    <row r="27" spans="1:8" ht="33" x14ac:dyDescent="0.25">
      <c r="A27" s="26"/>
      <c r="B27" s="25" t="s">
        <v>124</v>
      </c>
      <c r="C27" s="30" t="s">
        <v>125</v>
      </c>
      <c r="D27" s="30" t="s">
        <v>125</v>
      </c>
      <c r="E27" s="30" t="s">
        <v>125</v>
      </c>
      <c r="F27" s="30" t="s">
        <v>125</v>
      </c>
      <c r="G27" s="30" t="s">
        <v>125</v>
      </c>
      <c r="H27" s="30" t="s">
        <v>125</v>
      </c>
    </row>
    <row r="28" spans="1:8" ht="33" x14ac:dyDescent="0.25">
      <c r="A28" s="26"/>
      <c r="B28" s="25" t="s">
        <v>126</v>
      </c>
      <c r="C28" s="81" t="s">
        <v>78</v>
      </c>
      <c r="D28" s="81" t="s">
        <v>78</v>
      </c>
      <c r="E28" s="81" t="s">
        <v>78</v>
      </c>
      <c r="F28" s="81" t="s">
        <v>78</v>
      </c>
      <c r="G28" s="81" t="s">
        <v>78</v>
      </c>
      <c r="H28" s="81" t="s">
        <v>78</v>
      </c>
    </row>
    <row r="29" spans="1:8" ht="33" x14ac:dyDescent="0.25">
      <c r="A29" s="26"/>
      <c r="B29" s="25" t="s">
        <v>127</v>
      </c>
      <c r="C29" s="30" t="s">
        <v>128</v>
      </c>
      <c r="D29" s="30" t="s">
        <v>128</v>
      </c>
      <c r="E29" s="30" t="s">
        <v>128</v>
      </c>
      <c r="F29" s="30" t="s">
        <v>128</v>
      </c>
      <c r="G29" s="30" t="s">
        <v>128</v>
      </c>
      <c r="H29" s="30" t="s">
        <v>128</v>
      </c>
    </row>
    <row r="30" spans="1:8" x14ac:dyDescent="0.25">
      <c r="A30" s="26"/>
      <c r="B30" s="25" t="s">
        <v>129</v>
      </c>
      <c r="C30" s="82">
        <v>42064</v>
      </c>
      <c r="D30" s="82">
        <v>42064</v>
      </c>
      <c r="E30" s="82">
        <v>42064</v>
      </c>
      <c r="F30" s="82">
        <v>42064</v>
      </c>
      <c r="G30" s="82">
        <v>40939</v>
      </c>
      <c r="H30" s="82">
        <v>40299</v>
      </c>
    </row>
    <row r="31" spans="1:8" x14ac:dyDescent="0.25">
      <c r="A31" s="26"/>
      <c r="B31" s="25" t="s">
        <v>130</v>
      </c>
      <c r="C31" s="82">
        <v>42095</v>
      </c>
      <c r="D31" s="82">
        <v>42095</v>
      </c>
      <c r="E31" s="82">
        <v>42095</v>
      </c>
      <c r="F31" s="82">
        <v>42090</v>
      </c>
      <c r="G31" s="82">
        <v>40939</v>
      </c>
      <c r="H31" s="82">
        <v>40391</v>
      </c>
    </row>
    <row r="32" spans="1:8" ht="33" x14ac:dyDescent="0.25">
      <c r="A32" s="26">
        <v>3.18</v>
      </c>
      <c r="B32" s="25" t="s">
        <v>131</v>
      </c>
      <c r="C32" s="81">
        <v>880</v>
      </c>
      <c r="D32" s="81">
        <v>880</v>
      </c>
      <c r="E32" s="81">
        <v>880</v>
      </c>
      <c r="F32" s="103">
        <f>(100/F24)*(100/F25)</f>
        <v>813.00813008130092</v>
      </c>
      <c r="G32" s="81">
        <v>625</v>
      </c>
      <c r="H32" s="81">
        <v>420</v>
      </c>
    </row>
    <row r="33" spans="1:8" ht="33" x14ac:dyDescent="0.25">
      <c r="A33" s="26">
        <v>3.18</v>
      </c>
      <c r="B33" s="25" t="s">
        <v>132</v>
      </c>
      <c r="C33" s="83">
        <v>1</v>
      </c>
      <c r="D33" s="83">
        <v>1</v>
      </c>
      <c r="E33" s="83">
        <v>1</v>
      </c>
      <c r="F33" s="83">
        <v>1</v>
      </c>
      <c r="G33" s="83">
        <v>1</v>
      </c>
      <c r="H33" s="83">
        <v>0.85</v>
      </c>
    </row>
    <row r="34" spans="1:8" x14ac:dyDescent="0.25">
      <c r="A34" s="26" t="s">
        <v>133</v>
      </c>
      <c r="B34" s="25" t="s">
        <v>134</v>
      </c>
      <c r="C34" s="81" t="s">
        <v>78</v>
      </c>
      <c r="D34" s="81" t="s">
        <v>78</v>
      </c>
      <c r="E34" s="81" t="s">
        <v>78</v>
      </c>
      <c r="F34" s="81" t="s">
        <v>78</v>
      </c>
      <c r="G34" s="81" t="s">
        <v>78</v>
      </c>
      <c r="H34" s="81" t="s">
        <v>78</v>
      </c>
    </row>
    <row r="35" spans="1:8" ht="33" x14ac:dyDescent="0.25">
      <c r="A35" s="26" t="s">
        <v>135</v>
      </c>
      <c r="B35" s="25" t="s">
        <v>136</v>
      </c>
      <c r="C35" s="30" t="s">
        <v>80</v>
      </c>
      <c r="D35" s="30" t="s">
        <v>80</v>
      </c>
      <c r="E35" s="30" t="s">
        <v>80</v>
      </c>
      <c r="F35" s="30" t="s">
        <v>80</v>
      </c>
      <c r="G35" s="30" t="s">
        <v>80</v>
      </c>
      <c r="H35" s="30" t="s">
        <v>80</v>
      </c>
    </row>
    <row r="36" spans="1:8" ht="33" x14ac:dyDescent="0.25">
      <c r="A36" s="26">
        <v>3.47</v>
      </c>
      <c r="B36" s="25" t="s">
        <v>137</v>
      </c>
      <c r="C36" s="30" t="s">
        <v>80</v>
      </c>
      <c r="D36" s="30" t="s">
        <v>80</v>
      </c>
      <c r="E36" s="30" t="s">
        <v>80</v>
      </c>
      <c r="F36" s="30" t="s">
        <v>80</v>
      </c>
      <c r="G36" s="30" t="s">
        <v>80</v>
      </c>
      <c r="H36" s="30" t="s">
        <v>80</v>
      </c>
    </row>
    <row r="37" spans="1:8" x14ac:dyDescent="0.25">
      <c r="A37" s="26">
        <v>3.49</v>
      </c>
      <c r="B37" s="25" t="s">
        <v>138</v>
      </c>
      <c r="C37" s="30" t="s">
        <v>80</v>
      </c>
      <c r="D37" s="30" t="s">
        <v>80</v>
      </c>
      <c r="E37" s="30" t="s">
        <v>80</v>
      </c>
      <c r="F37" s="30" t="s">
        <v>80</v>
      </c>
      <c r="G37" s="30" t="s">
        <v>80</v>
      </c>
      <c r="H37" s="30" t="s">
        <v>80</v>
      </c>
    </row>
    <row r="38" spans="1:8" ht="33" x14ac:dyDescent="0.25">
      <c r="A38" s="26"/>
      <c r="B38" s="25" t="s">
        <v>139</v>
      </c>
      <c r="C38" s="30" t="s">
        <v>140</v>
      </c>
      <c r="D38" s="30" t="s">
        <v>140</v>
      </c>
      <c r="E38" s="30" t="s">
        <v>140</v>
      </c>
      <c r="F38" s="30" t="s">
        <v>140</v>
      </c>
      <c r="G38" s="30" t="s">
        <v>140</v>
      </c>
      <c r="H38" s="30" t="s">
        <v>140</v>
      </c>
    </row>
    <row r="39" spans="1:8" x14ac:dyDescent="0.25">
      <c r="A39" s="26"/>
      <c r="B39" s="25" t="s">
        <v>141</v>
      </c>
      <c r="C39" s="83">
        <v>0.95</v>
      </c>
      <c r="D39" s="83">
        <v>0.95</v>
      </c>
      <c r="E39" s="83">
        <v>0.95</v>
      </c>
      <c r="F39" s="83">
        <v>1.07</v>
      </c>
      <c r="G39" s="83">
        <v>0.9</v>
      </c>
      <c r="H39" s="83">
        <v>0.55000000000000004</v>
      </c>
    </row>
    <row r="40" spans="1:8" ht="66" x14ac:dyDescent="0.25">
      <c r="A40" s="26"/>
      <c r="B40" s="25" t="s">
        <v>142</v>
      </c>
      <c r="C40" s="32">
        <f>(PI()*2^2*C32*C39)/10000</f>
        <v>1.0505485833604269</v>
      </c>
      <c r="D40" s="32">
        <f t="shared" ref="D40:H40" si="0">(PI()*2^2*D32*D39)/10000</f>
        <v>1.0505485833604269</v>
      </c>
      <c r="E40" s="32">
        <f t="shared" si="0"/>
        <v>1.0505485833604269</v>
      </c>
      <c r="F40" s="32">
        <f t="shared" si="0"/>
        <v>1.0931720778344973</v>
      </c>
      <c r="G40" s="32">
        <f t="shared" si="0"/>
        <v>0.70685834705770345</v>
      </c>
      <c r="H40" s="32">
        <f t="shared" si="0"/>
        <v>0.29028316119169695</v>
      </c>
    </row>
    <row r="41" spans="1:8" ht="33" x14ac:dyDescent="0.25">
      <c r="A41" s="26" t="s">
        <v>143</v>
      </c>
      <c r="B41" s="25" t="s">
        <v>144</v>
      </c>
      <c r="C41" s="30">
        <f>C32*C39</f>
        <v>836</v>
      </c>
      <c r="D41" s="30">
        <f t="shared" ref="D41:H41" si="1">D32*D39</f>
        <v>836</v>
      </c>
      <c r="E41" s="30">
        <f t="shared" si="1"/>
        <v>836</v>
      </c>
      <c r="F41" s="30">
        <f t="shared" si="1"/>
        <v>869.91869918699206</v>
      </c>
      <c r="G41" s="30">
        <f t="shared" si="1"/>
        <v>562.5</v>
      </c>
      <c r="H41" s="30">
        <f t="shared" si="1"/>
        <v>231.00000000000003</v>
      </c>
    </row>
    <row r="42" spans="1:8" ht="33" x14ac:dyDescent="0.25">
      <c r="A42" s="26" t="s">
        <v>145</v>
      </c>
      <c r="B42" s="25" t="s">
        <v>146</v>
      </c>
      <c r="C42" s="30" t="s">
        <v>147</v>
      </c>
      <c r="D42" s="30" t="s">
        <v>147</v>
      </c>
      <c r="E42" s="30" t="s">
        <v>147</v>
      </c>
      <c r="F42" s="30" t="s">
        <v>147</v>
      </c>
      <c r="G42" s="30" t="s">
        <v>147</v>
      </c>
      <c r="H42" s="30" t="s">
        <v>147</v>
      </c>
    </row>
    <row r="43" spans="1:8" ht="33" x14ac:dyDescent="0.25">
      <c r="A43" s="26" t="s">
        <v>148</v>
      </c>
      <c r="B43" s="25" t="s">
        <v>149</v>
      </c>
      <c r="C43" s="81" t="s">
        <v>80</v>
      </c>
      <c r="D43" s="81" t="s">
        <v>80</v>
      </c>
      <c r="E43" s="81" t="s">
        <v>80</v>
      </c>
      <c r="F43" s="81" t="s">
        <v>80</v>
      </c>
      <c r="G43" s="81" t="s">
        <v>80</v>
      </c>
      <c r="H43" s="81" t="s">
        <v>80</v>
      </c>
    </row>
    <row r="44" spans="1:8" x14ac:dyDescent="0.25">
      <c r="A44" s="26" t="s">
        <v>150</v>
      </c>
      <c r="B44" s="25" t="s">
        <v>151</v>
      </c>
      <c r="C44" s="30" t="s">
        <v>152</v>
      </c>
      <c r="D44" s="30" t="s">
        <v>152</v>
      </c>
      <c r="E44" s="30" t="s">
        <v>152</v>
      </c>
      <c r="F44" s="30" t="s">
        <v>152</v>
      </c>
      <c r="G44" s="30" t="s">
        <v>152</v>
      </c>
      <c r="H44" s="30" t="s">
        <v>152</v>
      </c>
    </row>
    <row r="45" spans="1:8" x14ac:dyDescent="0.25">
      <c r="A45" s="26" t="s">
        <v>153</v>
      </c>
      <c r="B45" s="25" t="s">
        <v>154</v>
      </c>
      <c r="C45" s="30" t="s">
        <v>155</v>
      </c>
      <c r="D45" s="30" t="s">
        <v>155</v>
      </c>
      <c r="E45" s="30" t="s">
        <v>155</v>
      </c>
      <c r="F45" s="30" t="s">
        <v>155</v>
      </c>
      <c r="G45" s="30" t="s">
        <v>155</v>
      </c>
      <c r="H45" s="30" t="s">
        <v>155</v>
      </c>
    </row>
    <row r="46" spans="1:8" ht="33" x14ac:dyDescent="0.25">
      <c r="A46" s="25" t="s">
        <v>156</v>
      </c>
      <c r="B46" s="25" t="s">
        <v>157</v>
      </c>
      <c r="C46" s="30" t="s">
        <v>80</v>
      </c>
      <c r="D46" s="30" t="s">
        <v>80</v>
      </c>
      <c r="E46" s="30" t="s">
        <v>80</v>
      </c>
      <c r="F46" s="30" t="s">
        <v>80</v>
      </c>
      <c r="G46" s="30" t="s">
        <v>80</v>
      </c>
      <c r="H46" s="30" t="s">
        <v>80</v>
      </c>
    </row>
    <row r="47" spans="1:8" ht="33" x14ac:dyDescent="0.25">
      <c r="A47" s="26"/>
      <c r="B47" s="25" t="s">
        <v>158</v>
      </c>
      <c r="C47" s="27" t="s">
        <v>159</v>
      </c>
      <c r="D47" s="27" t="s">
        <v>159</v>
      </c>
      <c r="E47" s="27" t="s">
        <v>159</v>
      </c>
      <c r="F47" s="27" t="s">
        <v>159</v>
      </c>
      <c r="G47" s="27" t="s">
        <v>159</v>
      </c>
      <c r="H47" s="27" t="s">
        <v>159</v>
      </c>
    </row>
    <row r="48" spans="1:8" ht="33" x14ac:dyDescent="0.25">
      <c r="A48" s="26"/>
      <c r="B48" s="25" t="s">
        <v>160</v>
      </c>
      <c r="C48" s="27" t="s">
        <v>161</v>
      </c>
      <c r="D48" s="27" t="s">
        <v>161</v>
      </c>
      <c r="E48" s="27" t="s">
        <v>161</v>
      </c>
      <c r="F48" s="27" t="s">
        <v>161</v>
      </c>
      <c r="G48" s="27" t="s">
        <v>161</v>
      </c>
      <c r="H48" s="27" t="s">
        <v>161</v>
      </c>
    </row>
    <row r="49" spans="1:8" x14ac:dyDescent="0.25">
      <c r="A49" s="26"/>
      <c r="B49" s="25" t="s">
        <v>162</v>
      </c>
      <c r="C49" s="30" t="s">
        <v>163</v>
      </c>
      <c r="D49" s="30" t="s">
        <v>163</v>
      </c>
      <c r="E49" s="30" t="s">
        <v>163</v>
      </c>
      <c r="F49" s="30" t="s">
        <v>163</v>
      </c>
      <c r="G49" s="30" t="s">
        <v>163</v>
      </c>
      <c r="H49" s="30" t="s">
        <v>163</v>
      </c>
    </row>
    <row r="50" spans="1:8" x14ac:dyDescent="0.25">
      <c r="A50" s="26"/>
      <c r="B50" s="25" t="s">
        <v>164</v>
      </c>
      <c r="C50" s="30" t="s">
        <v>163</v>
      </c>
      <c r="D50" s="30" t="s">
        <v>163</v>
      </c>
      <c r="E50" s="30" t="s">
        <v>163</v>
      </c>
      <c r="F50" s="30" t="s">
        <v>163</v>
      </c>
      <c r="G50" s="30" t="s">
        <v>163</v>
      </c>
      <c r="H50" s="30" t="s">
        <v>163</v>
      </c>
    </row>
    <row r="51" spans="1:8" ht="25.5" x14ac:dyDescent="0.25">
      <c r="A51" s="26"/>
      <c r="B51" s="25" t="s">
        <v>165</v>
      </c>
      <c r="C51" s="34" t="s">
        <v>166</v>
      </c>
      <c r="D51" s="34" t="s">
        <v>166</v>
      </c>
      <c r="E51" s="34" t="s">
        <v>166</v>
      </c>
      <c r="F51" s="34" t="s">
        <v>166</v>
      </c>
      <c r="G51" s="34" t="s">
        <v>166</v>
      </c>
      <c r="H51" s="34" t="s">
        <v>166</v>
      </c>
    </row>
    <row r="52" spans="1:8" x14ac:dyDescent="0.25">
      <c r="A52" s="26"/>
      <c r="B52" s="25" t="s">
        <v>167</v>
      </c>
      <c r="C52" s="81">
        <v>-27.729581</v>
      </c>
      <c r="D52" s="81">
        <v>-27.733066999999998</v>
      </c>
      <c r="E52" s="81">
        <v>-27.736743000000001</v>
      </c>
      <c r="F52" s="81">
        <v>-28.172782999999999</v>
      </c>
      <c r="G52" s="81">
        <v>-27.738095000000001</v>
      </c>
      <c r="H52" s="81">
        <v>-33.606723000000002</v>
      </c>
    </row>
    <row r="53" spans="1:8" x14ac:dyDescent="0.25">
      <c r="A53" s="26"/>
      <c r="B53" s="25" t="s">
        <v>168</v>
      </c>
      <c r="C53" s="81">
        <v>152.84573800000001</v>
      </c>
      <c r="D53" s="81">
        <v>152.844391</v>
      </c>
      <c r="E53" s="81">
        <v>152.842614</v>
      </c>
      <c r="F53" s="81">
        <v>153.07123200000001</v>
      </c>
      <c r="G53" s="81">
        <v>152.45277100000001</v>
      </c>
      <c r="H53" s="81">
        <v>148.83248499999999</v>
      </c>
    </row>
    <row r="54" spans="1:8" ht="33" x14ac:dyDescent="0.25">
      <c r="A54" s="26"/>
      <c r="B54" s="25" t="s">
        <v>169</v>
      </c>
      <c r="C54" s="33">
        <v>42551</v>
      </c>
      <c r="D54" s="33">
        <v>42551</v>
      </c>
      <c r="E54" s="33">
        <v>42551</v>
      </c>
      <c r="F54" s="33">
        <v>42551</v>
      </c>
      <c r="G54" s="33">
        <v>42551</v>
      </c>
      <c r="H54" s="33">
        <v>42551</v>
      </c>
    </row>
    <row r="59" spans="1:8" x14ac:dyDescent="0.25">
      <c r="F59" s="3"/>
      <c r="H59" s="95"/>
    </row>
    <row r="60" spans="1:8" x14ac:dyDescent="0.25">
      <c r="F60" s="3"/>
      <c r="H60" s="95"/>
    </row>
    <row r="61" spans="1:8" x14ac:dyDescent="0.25">
      <c r="F61" s="3"/>
      <c r="H61" s="95"/>
    </row>
  </sheetData>
  <mergeCells count="1">
    <mergeCell ref="C6:E6"/>
  </mergeCells>
  <pageMargins left="0.70866141732283472" right="0.70866141732283472" top="0.74803149606299213" bottom="0.74803149606299213" header="0.31496062992125984" footer="0.31496062992125984"/>
  <pageSetup paperSize="8" scale="6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C0BD-A3F2-4A64-9886-E00B34448A94}">
  <sheetPr>
    <tabColor rgb="FF00B0F0"/>
    <pageSetUpPr fitToPage="1"/>
  </sheetPr>
  <dimension ref="A2:AN24"/>
  <sheetViews>
    <sheetView topLeftCell="Q1" zoomScale="113" zoomScaleNormal="85" workbookViewId="0">
      <selection activeCell="AA21" sqref="AA21"/>
    </sheetView>
  </sheetViews>
  <sheetFormatPr defaultColWidth="9" defaultRowHeight="16.5" x14ac:dyDescent="0.3"/>
  <cols>
    <col min="1" max="1" width="13.28515625" style="2" customWidth="1"/>
    <col min="2" max="2" width="28.42578125" style="2" customWidth="1"/>
    <col min="3" max="3" width="8.42578125" style="11" bestFit="1" customWidth="1"/>
    <col min="4" max="4" width="12.42578125" style="11" bestFit="1" customWidth="1"/>
    <col min="5" max="5" width="11.85546875" style="11" bestFit="1" customWidth="1"/>
    <col min="6" max="6" width="11.85546875" style="2" bestFit="1" customWidth="1"/>
    <col min="7" max="15" width="11.85546875" style="2" customWidth="1"/>
    <col min="16" max="16" width="11.5703125" style="11" customWidth="1"/>
    <col min="17" max="17" width="11.85546875" style="11" bestFit="1" customWidth="1"/>
    <col min="18" max="18" width="11.85546875" style="2" bestFit="1" customWidth="1"/>
    <col min="19" max="24" width="11.85546875" style="2" customWidth="1"/>
    <col min="25" max="28" width="13.140625" style="2" customWidth="1"/>
    <col min="29" max="29" width="32.140625" style="2" customWidth="1"/>
    <col min="30" max="32" width="13.140625" style="2" customWidth="1"/>
    <col min="33" max="33" width="9.42578125" style="2" customWidth="1"/>
    <col min="34" max="34" width="16.5703125" style="2" bestFit="1" customWidth="1"/>
    <col min="35" max="36" width="9" style="2"/>
    <col min="37" max="37" width="15.5703125" style="2" bestFit="1" customWidth="1"/>
    <col min="38" max="16384" width="9" style="2"/>
  </cols>
  <sheetData>
    <row r="2" spans="1:40" x14ac:dyDescent="0.3">
      <c r="A2" s="64" t="s">
        <v>170</v>
      </c>
    </row>
    <row r="3" spans="1:40" x14ac:dyDescent="0.3">
      <c r="A3" s="4"/>
      <c r="B3" s="5"/>
      <c r="C3" s="45"/>
      <c r="D3" s="5"/>
      <c r="E3" s="5"/>
      <c r="F3" s="5" t="s">
        <v>171</v>
      </c>
      <c r="G3" s="119" t="s">
        <v>172</v>
      </c>
      <c r="H3" s="5"/>
      <c r="I3" s="6" t="s">
        <v>173</v>
      </c>
      <c r="J3" s="120" t="s">
        <v>174</v>
      </c>
      <c r="K3" s="5"/>
      <c r="L3" s="6" t="s">
        <v>173</v>
      </c>
      <c r="M3" s="120" t="s">
        <v>175</v>
      </c>
      <c r="N3" s="5"/>
      <c r="O3" s="6" t="s">
        <v>173</v>
      </c>
      <c r="P3" s="120" t="s">
        <v>176</v>
      </c>
      <c r="Q3" s="5"/>
      <c r="R3" s="6" t="s">
        <v>173</v>
      </c>
      <c r="S3" s="120" t="s">
        <v>177</v>
      </c>
      <c r="T3" s="5"/>
      <c r="U3" s="6" t="s">
        <v>173</v>
      </c>
      <c r="V3" s="120" t="s">
        <v>178</v>
      </c>
      <c r="W3" s="5"/>
      <c r="X3" s="6" t="s">
        <v>173</v>
      </c>
      <c r="Y3" s="120" t="s">
        <v>179</v>
      </c>
      <c r="Z3" s="5"/>
      <c r="AA3" s="6" t="s">
        <v>173</v>
      </c>
      <c r="AB3" s="120" t="s">
        <v>180</v>
      </c>
      <c r="AC3" s="5"/>
      <c r="AD3" s="6" t="s">
        <v>173</v>
      </c>
      <c r="AI3" s="4"/>
      <c r="AJ3" s="5"/>
      <c r="AK3" s="5"/>
      <c r="AL3" s="5" t="s">
        <v>181</v>
      </c>
      <c r="AM3" s="5" t="s">
        <v>182</v>
      </c>
      <c r="AN3" s="6"/>
    </row>
    <row r="4" spans="1:40" s="16" customFormat="1" ht="67.5" x14ac:dyDescent="0.3">
      <c r="A4" s="36" t="s">
        <v>183</v>
      </c>
      <c r="B4" s="16" t="s">
        <v>184</v>
      </c>
      <c r="C4" s="43" t="s">
        <v>185</v>
      </c>
      <c r="D4" s="43" t="s">
        <v>186</v>
      </c>
      <c r="E4" s="43" t="s">
        <v>187</v>
      </c>
      <c r="F4" s="46" t="s">
        <v>188</v>
      </c>
      <c r="G4" s="111" t="s">
        <v>189</v>
      </c>
      <c r="H4" s="46" t="s">
        <v>190</v>
      </c>
      <c r="I4" s="47" t="s">
        <v>191</v>
      </c>
      <c r="J4" s="43" t="s">
        <v>189</v>
      </c>
      <c r="K4" s="43" t="s">
        <v>190</v>
      </c>
      <c r="L4" s="47" t="s">
        <v>191</v>
      </c>
      <c r="M4" s="111" t="s">
        <v>189</v>
      </c>
      <c r="N4" s="46" t="s">
        <v>190</v>
      </c>
      <c r="O4" s="47" t="s">
        <v>191</v>
      </c>
      <c r="P4" s="43" t="s">
        <v>189</v>
      </c>
      <c r="Q4" s="43" t="s">
        <v>190</v>
      </c>
      <c r="R4" s="47" t="s">
        <v>191</v>
      </c>
      <c r="S4" s="43" t="s">
        <v>189</v>
      </c>
      <c r="T4" s="43" t="s">
        <v>190</v>
      </c>
      <c r="U4" s="47" t="s">
        <v>191</v>
      </c>
      <c r="V4" s="43" t="s">
        <v>189</v>
      </c>
      <c r="W4" s="43" t="s">
        <v>190</v>
      </c>
      <c r="X4" s="47" t="s">
        <v>191</v>
      </c>
      <c r="Y4" s="43" t="s">
        <v>189</v>
      </c>
      <c r="Z4" s="43" t="s">
        <v>190</v>
      </c>
      <c r="AA4" s="47" t="s">
        <v>191</v>
      </c>
      <c r="AB4" s="43" t="s">
        <v>189</v>
      </c>
      <c r="AC4" s="43" t="s">
        <v>190</v>
      </c>
      <c r="AD4" s="47" t="s">
        <v>191</v>
      </c>
      <c r="AE4" s="43"/>
      <c r="AF4" s="43"/>
      <c r="AG4" s="43"/>
      <c r="AI4" s="7" t="s">
        <v>47</v>
      </c>
      <c r="AJ4" s="2"/>
      <c r="AK4" s="2"/>
      <c r="AM4" s="100">
        <f>'Net Abatement'!C11</f>
        <v>1989.3777113575743</v>
      </c>
      <c r="AN4" s="137" t="s">
        <v>192</v>
      </c>
    </row>
    <row r="5" spans="1:40" x14ac:dyDescent="0.3">
      <c r="A5" s="4" t="s">
        <v>56</v>
      </c>
      <c r="B5" s="5" t="s">
        <v>193</v>
      </c>
      <c r="C5" s="45">
        <f>'CEA Attributes'!F5</f>
        <v>8.76</v>
      </c>
      <c r="D5" s="37">
        <v>0</v>
      </c>
      <c r="E5" s="37">
        <v>0</v>
      </c>
      <c r="F5" s="12">
        <f t="shared" ref="F5:F10" si="0">(D5+E5)*C5</f>
        <v>0</v>
      </c>
      <c r="G5" s="107">
        <f>'Abatement - Report 1'!G4</f>
        <v>1.2359209471864601</v>
      </c>
      <c r="H5" s="12">
        <f>'Abatement - Report 1'!H4</f>
        <v>7.1879623380373001E-2</v>
      </c>
      <c r="I5" s="13">
        <f>'Abatement - Report 1'!I4</f>
        <v>11.456332998165456</v>
      </c>
      <c r="J5" s="37">
        <v>18.665415608397101</v>
      </c>
      <c r="K5" s="37">
        <v>1.88581557967057</v>
      </c>
      <c r="L5" s="13">
        <v>180.02878520747279</v>
      </c>
      <c r="M5" s="121">
        <v>36.533445444094802</v>
      </c>
      <c r="N5" s="123">
        <v>4.38537741230307</v>
      </c>
      <c r="O5" s="122">
        <v>358.44888822204535</v>
      </c>
      <c r="P5" s="37">
        <v>49.3035565994671</v>
      </c>
      <c r="Q5" s="37">
        <v>8.5171658063440407</v>
      </c>
      <c r="R5" s="13">
        <v>506.50952827490602</v>
      </c>
      <c r="S5" s="37">
        <f>JIN_CEA_01!E91</f>
        <v>56.138794009243099</v>
      </c>
      <c r="T5" s="37">
        <f>JIN_CEA_01!F91</f>
        <v>10.672326652149</v>
      </c>
      <c r="U5" s="13">
        <f>(T5+S5)*C5</f>
        <v>585.2654169937947</v>
      </c>
      <c r="V5" s="37">
        <f>JIN_CEA_01!E103</f>
        <v>60.6740395266009</v>
      </c>
      <c r="W5" s="37">
        <f>JIN_CEA_01!F103</f>
        <v>12.4976108362131</v>
      </c>
      <c r="X5" s="13">
        <f>(W5+V5)*C5</f>
        <v>640.98365717825072</v>
      </c>
      <c r="Y5" s="37">
        <f>JIN_CEA_01!E115</f>
        <v>64.975261136761105</v>
      </c>
      <c r="Z5" s="37">
        <f>JIN_CEA_01!F115</f>
        <v>14.0582565919276</v>
      </c>
      <c r="AA5" s="13">
        <f>(Z5+Y5)*C5</f>
        <v>692.33361530331308</v>
      </c>
      <c r="AB5" s="37">
        <f>JIN_CEA_01!E127</f>
        <v>72.9228729170881</v>
      </c>
      <c r="AC5" s="37">
        <f>JIN_CEA_01!F127</f>
        <v>15.493313064213201</v>
      </c>
      <c r="AD5" s="13">
        <f>(AC5+AB5)*C5</f>
        <v>774.5257891961993</v>
      </c>
      <c r="AE5" s="12"/>
      <c r="AF5" s="12"/>
      <c r="AG5" s="12"/>
      <c r="AI5" s="138">
        <f>AD5-AA5</f>
        <v>82.192173892886217</v>
      </c>
      <c r="AJ5" s="96">
        <f>AI5*(44/12)</f>
        <v>301.37130427391611</v>
      </c>
      <c r="AL5" s="139">
        <f>AI5/$AK$8</f>
        <v>0.14880946578640492</v>
      </c>
      <c r="AN5" s="140">
        <f>$AM$4*AL5</f>
        <v>296.03823447450145</v>
      </c>
    </row>
    <row r="6" spans="1:40" x14ac:dyDescent="0.3">
      <c r="A6" s="7" t="s">
        <v>194</v>
      </c>
      <c r="B6" s="2" t="s">
        <v>193</v>
      </c>
      <c r="C6" s="11">
        <f>'CEA Attributes'!G5</f>
        <v>2.7</v>
      </c>
      <c r="D6" s="57">
        <v>0</v>
      </c>
      <c r="E6" s="57">
        <v>0</v>
      </c>
      <c r="F6" s="12">
        <f t="shared" si="0"/>
        <v>0</v>
      </c>
      <c r="G6" s="107">
        <f>'Abatement - Report 1'!G5</f>
        <v>8.6244365766503908</v>
      </c>
      <c r="H6" s="12">
        <f>'Abatement - Report 1'!H5</f>
        <v>1.16397464519216</v>
      </c>
      <c r="I6" s="13">
        <f>'Abatement - Report 1'!I5</f>
        <v>26.428710298974892</v>
      </c>
      <c r="J6" s="57">
        <v>11.3926510530081</v>
      </c>
      <c r="K6" s="57">
        <v>2.1026674465216502</v>
      </c>
      <c r="L6" s="13">
        <v>36.437359948730325</v>
      </c>
      <c r="M6" s="107">
        <v>15.0085075230317</v>
      </c>
      <c r="N6" s="12">
        <v>2.81566298877744</v>
      </c>
      <c r="O6" s="13">
        <v>48.125260381884679</v>
      </c>
      <c r="P6" s="57">
        <v>20.3339430688013</v>
      </c>
      <c r="Q6" s="57">
        <v>4.1384045172013098</v>
      </c>
      <c r="R6" s="13">
        <v>66.075338482207044</v>
      </c>
      <c r="S6" s="57">
        <f>HID_CEA_01!E129</f>
        <v>22.545254457087001</v>
      </c>
      <c r="T6" s="57">
        <f>HID_CEA_01!F129</f>
        <v>2.1788460822775302</v>
      </c>
      <c r="U6" s="13">
        <f t="shared" ref="U6:U9" si="1">(T6+S6)*C6</f>
        <v>66.755071456284242</v>
      </c>
      <c r="V6" s="57">
        <f>HID_CEA_01!E141</f>
        <v>24.404293933540199</v>
      </c>
      <c r="W6" s="57">
        <f>HID_CEA_01!F141</f>
        <v>3.2140433074887</v>
      </c>
      <c r="X6" s="13">
        <f>(W6+V6)*C6</f>
        <v>74.569510550778034</v>
      </c>
      <c r="Y6" s="57">
        <f>HID_CEA_01!E153</f>
        <v>26.342406647741502</v>
      </c>
      <c r="Z6" s="57">
        <f>HID_CEA_01!F153</f>
        <v>4.0858451499377999</v>
      </c>
      <c r="AA6" s="13">
        <f t="shared" ref="AA6:AA10" si="2">(Z6+Y6)*C6</f>
        <v>82.156279853734119</v>
      </c>
      <c r="AB6" s="57">
        <f>HID_CEA_01!E165</f>
        <v>27.2819365442164</v>
      </c>
      <c r="AC6" s="57">
        <f>HID_CEA_01!F165</f>
        <v>4.8152209733435498</v>
      </c>
      <c r="AD6" s="13">
        <f t="shared" ref="AD6:AD10" si="3">(AC6+AB6)*C6</f>
        <v>86.662325297411869</v>
      </c>
      <c r="AE6" s="12"/>
      <c r="AF6" s="12"/>
      <c r="AG6" s="12"/>
      <c r="AH6" s="96"/>
      <c r="AI6" s="138">
        <f>AD6-AA6</f>
        <v>4.5060454436777491</v>
      </c>
      <c r="AJ6" s="96">
        <f>AI6*(44/12)</f>
        <v>16.522166626818411</v>
      </c>
      <c r="AL6" s="139">
        <f>AI6/$AK$8</f>
        <v>8.158224603680736E-3</v>
      </c>
      <c r="AN6" s="140">
        <f>$AM$4*AL6</f>
        <v>16.229790190811435</v>
      </c>
    </row>
    <row r="7" spans="1:40" x14ac:dyDescent="0.3">
      <c r="A7" s="7" t="s">
        <v>58</v>
      </c>
      <c r="B7" s="2" t="s">
        <v>193</v>
      </c>
      <c r="C7" s="11">
        <f>'CEA Attributes'!H5</f>
        <v>3.24</v>
      </c>
      <c r="D7" s="57">
        <f>LIS_CEA_01!E20</f>
        <v>0.29377931116845402</v>
      </c>
      <c r="E7" s="57">
        <f>LIS_CEA_01!F20</f>
        <v>3.3778267840071999E-2</v>
      </c>
      <c r="F7" s="12">
        <f t="shared" si="0"/>
        <v>1.0612865559876243</v>
      </c>
      <c r="G7" s="107">
        <f>'Abatement - Report 1'!G6</f>
        <v>3.6519413209689802</v>
      </c>
      <c r="H7" s="12">
        <f>'Abatement - Report 1'!H6</f>
        <v>0.64600860840964303</v>
      </c>
      <c r="I7" s="13">
        <f>'Abatement - Report 1'!I6</f>
        <v>13.925357771186739</v>
      </c>
      <c r="J7" s="57">
        <v>6.0646123413446897</v>
      </c>
      <c r="K7" s="57">
        <v>1.1987737889733701</v>
      </c>
      <c r="L7" s="13">
        <v>23.533371062230515</v>
      </c>
      <c r="M7" s="107">
        <v>7.8642870539988001</v>
      </c>
      <c r="N7" s="12">
        <v>1.6702547412923601</v>
      </c>
      <c r="O7" s="13">
        <v>30.891915416743359</v>
      </c>
      <c r="P7" s="57">
        <v>13.213962548440399</v>
      </c>
      <c r="Q7" s="57">
        <v>3.1108819478795899</v>
      </c>
      <c r="R7" s="13">
        <v>52.892496168076768</v>
      </c>
      <c r="S7" s="57">
        <f>LIS_CEA_01!E146</f>
        <v>16.470799756928599</v>
      </c>
      <c r="T7" s="57">
        <f>LIS_CEA_01!F146</f>
        <v>3.7039664103460201</v>
      </c>
      <c r="U7" s="13">
        <f t="shared" si="1"/>
        <v>65.366242381969769</v>
      </c>
      <c r="V7" s="57">
        <f>LIS_CEA_01!E158</f>
        <v>19.424543978654501</v>
      </c>
      <c r="W7" s="57">
        <f>LIS_CEA_01!F158</f>
        <v>4.2933919409542698</v>
      </c>
      <c r="X7" s="13">
        <f t="shared" ref="X7:X10" si="4">(W7+V7)*C7</f>
        <v>76.846112379532414</v>
      </c>
      <c r="Y7" s="57">
        <f>LIS_CEA_01!E170</f>
        <v>20.789579719724198</v>
      </c>
      <c r="Z7" s="57">
        <f>LIS_CEA_01!F170</f>
        <v>4.8296846444188199</v>
      </c>
      <c r="AA7" s="13">
        <f t="shared" si="2"/>
        <v>83.006416539823377</v>
      </c>
      <c r="AB7" s="57">
        <f>LIS_CEA_01!E182</f>
        <v>22.086285198729399</v>
      </c>
      <c r="AC7" s="57">
        <f>LIS_CEA_01!F182</f>
        <v>5.2983250551239296</v>
      </c>
      <c r="AD7" s="13">
        <f t="shared" si="3"/>
        <v>88.726137222484795</v>
      </c>
      <c r="AE7" s="12"/>
      <c r="AF7" s="12"/>
      <c r="AG7" s="12"/>
      <c r="AH7" s="96"/>
      <c r="AI7" s="138">
        <f>AD7-AA7</f>
        <v>5.7197206826614178</v>
      </c>
      <c r="AJ7" s="96">
        <f>AI7*(44/12)</f>
        <v>20.972309169758532</v>
      </c>
      <c r="AL7" s="139">
        <f>AI7/$AK$8</f>
        <v>1.0355591523148218E-2</v>
      </c>
      <c r="AN7" s="140">
        <f t="shared" ref="AN7" si="5">$AM$4*AL7</f>
        <v>20.6011829640745</v>
      </c>
    </row>
    <row r="8" spans="1:40" x14ac:dyDescent="0.3">
      <c r="A8" s="7" t="s">
        <v>53</v>
      </c>
      <c r="B8" s="2" t="s">
        <v>193</v>
      </c>
      <c r="C8" s="11">
        <f>'CEA Attributes'!C5</f>
        <v>13.77</v>
      </c>
      <c r="D8" s="57">
        <v>0</v>
      </c>
      <c r="E8" s="57">
        <v>0</v>
      </c>
      <c r="F8" s="12">
        <f t="shared" si="0"/>
        <v>0</v>
      </c>
      <c r="G8" s="107">
        <f>'Abatement - Report 1'!G7</f>
        <v>4.4925290194678702</v>
      </c>
      <c r="H8" s="12">
        <f>'Abatement - Report 1'!H7</f>
        <v>0.171312188465577</v>
      </c>
      <c r="I8" s="13">
        <f>'Abatement - Report 1'!I7</f>
        <v>64.221093433243567</v>
      </c>
      <c r="J8" s="57">
        <v>15.292900319298999</v>
      </c>
      <c r="K8" s="57">
        <v>1.87171380331843</v>
      </c>
      <c r="L8" s="13">
        <v>236.35673646844199</v>
      </c>
      <c r="M8" s="107">
        <v>23.2469995082702</v>
      </c>
      <c r="N8" s="12">
        <v>3.3669807256600901</v>
      </c>
      <c r="O8" s="13">
        <v>366.47450782122013</v>
      </c>
      <c r="P8" s="57">
        <v>34.431616564614899</v>
      </c>
      <c r="Q8" s="57">
        <v>6.2363016207602202</v>
      </c>
      <c r="R8" s="13">
        <v>559.9972334126154</v>
      </c>
      <c r="S8" s="57">
        <f>STE_CEA_01!E90</f>
        <v>38.837186238780703</v>
      </c>
      <c r="T8" s="57">
        <f>STE_CEA_01!F90</f>
        <v>7.4784789416641697</v>
      </c>
      <c r="U8" s="13">
        <f t="shared" si="1"/>
        <v>637.76670953472592</v>
      </c>
      <c r="V8" s="57">
        <f>STE_CEA_01!E102</f>
        <v>43.347082876030001</v>
      </c>
      <c r="W8" s="57">
        <f>STE_CEA_01!F102</f>
        <v>8.5966301594826504</v>
      </c>
      <c r="X8" s="13">
        <f t="shared" si="4"/>
        <v>715.26492849900922</v>
      </c>
      <c r="Y8" s="57">
        <f>STE_CEA_01!E114</f>
        <v>47.219660709466098</v>
      </c>
      <c r="Z8" s="57">
        <f>STE_CEA_01!F114</f>
        <v>9.6093875324606408</v>
      </c>
      <c r="AA8" s="13">
        <f t="shared" si="2"/>
        <v>782.53599429133124</v>
      </c>
      <c r="AB8" s="57">
        <f>STE_CEA_01!E126</f>
        <v>50.703374286559601</v>
      </c>
      <c r="AC8" s="57">
        <f>STE_CEA_01!F126</f>
        <v>10.522407176196401</v>
      </c>
      <c r="AD8" s="13">
        <f t="shared" si="3"/>
        <v>843.0790107421501</v>
      </c>
      <c r="AE8" s="12"/>
      <c r="AF8" s="12"/>
      <c r="AG8" s="12"/>
      <c r="AH8" s="96"/>
      <c r="AI8" s="138">
        <f>SUM(AD8:AD10)-SUM(AA8:AA10)</f>
        <v>459.91368390355274</v>
      </c>
      <c r="AJ8" s="96">
        <f t="shared" ref="AJ8" si="6">AI8*(44/12)</f>
        <v>1686.3501743130266</v>
      </c>
      <c r="AK8" s="124">
        <f>SUM(AD5:AD10)-SUM(AA5:AA10)</f>
        <v>552.33162392277882</v>
      </c>
      <c r="AL8" s="139">
        <f>AI8/$AK$8</f>
        <v>0.83267671808676491</v>
      </c>
      <c r="AN8" s="140">
        <f>$AM$4*AL8</f>
        <v>1656.5085037281845</v>
      </c>
    </row>
    <row r="9" spans="1:40" x14ac:dyDescent="0.3">
      <c r="A9" s="7" t="s">
        <v>54</v>
      </c>
      <c r="B9" s="2" t="s">
        <v>193</v>
      </c>
      <c r="C9" s="11">
        <f>'CEA Attributes'!D5</f>
        <v>24.62</v>
      </c>
      <c r="D9" s="57">
        <v>0</v>
      </c>
      <c r="E9" s="57">
        <v>0</v>
      </c>
      <c r="F9" s="12">
        <f t="shared" si="0"/>
        <v>0</v>
      </c>
      <c r="G9" s="107">
        <f>'Abatement - Report 1'!G8</f>
        <v>4.5082506241216302</v>
      </c>
      <c r="H9" s="12">
        <f>'Abatement - Report 1'!H8</f>
        <v>0.17253132396936899</v>
      </c>
      <c r="I9" s="13">
        <f>'Abatement - Report 1'!I8</f>
        <v>115.2408515620004</v>
      </c>
      <c r="J9" s="57">
        <v>15.3374014504288</v>
      </c>
      <c r="K9" s="57">
        <v>1.87903751706196</v>
      </c>
      <c r="L9" s="13">
        <v>423.8687273796225</v>
      </c>
      <c r="M9" s="107">
        <v>23.310062851119699</v>
      </c>
      <c r="N9" s="12">
        <v>3.3806721298769902</v>
      </c>
      <c r="O9" s="13">
        <v>657.12589523213853</v>
      </c>
      <c r="P9" s="57">
        <v>34.520036794364202</v>
      </c>
      <c r="Q9" s="57">
        <v>6.2648942990542897</v>
      </c>
      <c r="R9" s="13">
        <v>1004.1250035199633</v>
      </c>
      <c r="S9" s="57">
        <f>STE_CEA_02!E90</f>
        <v>38.935505446527102</v>
      </c>
      <c r="T9" s="57">
        <f>STE_CEA_02!F90</f>
        <v>7.5147015605023801</v>
      </c>
      <c r="U9" s="13">
        <f t="shared" si="1"/>
        <v>1143.604096513066</v>
      </c>
      <c r="V9" s="57">
        <f>STE_CEA_02!E102</f>
        <v>43.455542670686199</v>
      </c>
      <c r="W9" s="57">
        <f>STE_CEA_02!F102</f>
        <v>8.6402690937145898</v>
      </c>
      <c r="X9" s="13">
        <f t="shared" si="4"/>
        <v>1282.5988856395475</v>
      </c>
      <c r="Y9" s="57">
        <f>STE_CEA_02!E114</f>
        <v>47.336820963875503</v>
      </c>
      <c r="Z9" s="57">
        <f>STE_CEA_02!F114</f>
        <v>9.6601314561638105</v>
      </c>
      <c r="AA9" s="13">
        <f t="shared" si="2"/>
        <v>1403.2649685813681</v>
      </c>
      <c r="AB9" s="57">
        <f>STE_CEA_02!E126</f>
        <v>50.828373641752201</v>
      </c>
      <c r="AC9" s="57">
        <f>STE_CEA_02!F126</f>
        <v>10.579837991971001</v>
      </c>
      <c r="AD9" s="13">
        <f t="shared" si="3"/>
        <v>1511.8701704222651</v>
      </c>
      <c r="AE9" s="12"/>
      <c r="AF9" s="12"/>
      <c r="AG9" s="12"/>
      <c r="AI9" s="141"/>
      <c r="AJ9" s="142"/>
      <c r="AK9" s="10"/>
      <c r="AL9" s="10"/>
      <c r="AM9" s="10"/>
      <c r="AN9" s="143">
        <f>SUM(AN5:AN8)</f>
        <v>1989.3777113575718</v>
      </c>
    </row>
    <row r="10" spans="1:40" x14ac:dyDescent="0.3">
      <c r="A10" s="7" t="s">
        <v>55</v>
      </c>
      <c r="B10" s="2" t="s">
        <v>193</v>
      </c>
      <c r="C10" s="11">
        <f>'CEA Attributes'!E5</f>
        <v>66.16</v>
      </c>
      <c r="D10" s="62">
        <v>0</v>
      </c>
      <c r="E10" s="62">
        <v>0</v>
      </c>
      <c r="F10" s="12">
        <f t="shared" si="0"/>
        <v>0</v>
      </c>
      <c r="G10" s="108">
        <f>'Abatement - Report 1'!G9</f>
        <v>4.4925866900188502</v>
      </c>
      <c r="H10" s="109">
        <f>'Abatement - Report 1'!H9</f>
        <v>0.17205495611221899</v>
      </c>
      <c r="I10" s="110">
        <f>'Abatement - Report 1'!I9</f>
        <v>308.61269130803151</v>
      </c>
      <c r="J10" s="57">
        <v>15.281489546836299</v>
      </c>
      <c r="K10" s="57">
        <v>1.8723688367635001</v>
      </c>
      <c r="L10" s="13">
        <v>1134.8992706589627</v>
      </c>
      <c r="M10" s="108">
        <v>23.224519498307099</v>
      </c>
      <c r="N10" s="109">
        <v>3.3684945335243501</v>
      </c>
      <c r="O10" s="110">
        <v>1759.3938083459686</v>
      </c>
      <c r="P10" s="57">
        <v>34.392830092644097</v>
      </c>
      <c r="Q10" s="57">
        <v>6.2420985183068796</v>
      </c>
      <c r="R10" s="13">
        <v>2688.4068769005166</v>
      </c>
      <c r="S10" s="57">
        <f>STE_CEA_03!E90</f>
        <v>38.791888072313398</v>
      </c>
      <c r="T10" s="57">
        <f>STE_CEA_03!F90</f>
        <v>7.4872963927408902</v>
      </c>
      <c r="U10" s="13">
        <f>(T10+S10)*C10</f>
        <v>3061.8308442079915</v>
      </c>
      <c r="V10" s="57">
        <f>STE_CEA_03!E102</f>
        <v>43.295125981068303</v>
      </c>
      <c r="W10" s="57">
        <f>STE_CEA_03!F102</f>
        <v>8.6087092838143793</v>
      </c>
      <c r="X10" s="13">
        <f t="shared" si="4"/>
        <v>3433.9577411246378</v>
      </c>
      <c r="Y10" s="57">
        <f>STE_CEA_03!E114</f>
        <v>47.161978990795397</v>
      </c>
      <c r="Z10" s="57">
        <f>STE_CEA_03!F114</f>
        <v>9.6248044072842909</v>
      </c>
      <c r="AA10" s="13">
        <f t="shared" si="2"/>
        <v>3757.0135896169522</v>
      </c>
      <c r="AB10" s="57">
        <f>STE_CEA_03!E126</f>
        <v>50.640554851938802</v>
      </c>
      <c r="AC10" s="57">
        <f>STE_CEA_03!F126</f>
        <v>10.5411116418458</v>
      </c>
      <c r="AD10" s="13">
        <f t="shared" si="3"/>
        <v>4047.7790552287893</v>
      </c>
      <c r="AE10" s="12"/>
      <c r="AF10" s="12"/>
      <c r="AG10" s="12"/>
      <c r="AI10" s="96"/>
      <c r="AJ10" s="96"/>
    </row>
    <row r="11" spans="1:40" x14ac:dyDescent="0.3">
      <c r="A11" s="52"/>
      <c r="B11" s="53"/>
      <c r="C11" s="54"/>
      <c r="D11" s="87"/>
      <c r="E11" s="87"/>
      <c r="F11" s="55"/>
      <c r="G11" s="55"/>
      <c r="H11" s="55"/>
      <c r="I11" s="55"/>
      <c r="J11" s="54"/>
      <c r="K11" s="54"/>
      <c r="L11" s="56"/>
      <c r="M11" s="55"/>
      <c r="N11" s="55"/>
      <c r="O11" s="55"/>
      <c r="P11" s="54"/>
      <c r="Q11" s="54"/>
      <c r="R11" s="56"/>
      <c r="S11" s="54"/>
      <c r="T11" s="54"/>
      <c r="U11" s="56"/>
      <c r="V11" s="54"/>
      <c r="W11" s="54"/>
      <c r="X11" s="56"/>
      <c r="Y11" s="54"/>
      <c r="Z11" s="54"/>
      <c r="AA11" s="56"/>
      <c r="AB11" s="135"/>
      <c r="AC11" s="135"/>
      <c r="AD11" s="136"/>
      <c r="AE11" s="131"/>
      <c r="AF11" s="131"/>
      <c r="AG11" s="131"/>
    </row>
    <row r="12" spans="1:40" x14ac:dyDescent="0.3">
      <c r="A12" s="4"/>
      <c r="B12" s="5"/>
      <c r="C12" s="45"/>
      <c r="D12" s="45"/>
      <c r="E12" s="45"/>
      <c r="F12" s="5"/>
      <c r="G12" s="5"/>
      <c r="H12" s="5"/>
      <c r="I12" s="5"/>
      <c r="J12" s="45"/>
      <c r="K12" s="45"/>
      <c r="L12" s="6"/>
      <c r="M12" s="5"/>
      <c r="N12" s="5"/>
      <c r="O12" s="5"/>
      <c r="P12" s="45"/>
      <c r="Q12" s="45"/>
      <c r="R12" s="6"/>
      <c r="S12" s="45"/>
      <c r="T12" s="45"/>
      <c r="U12" s="6"/>
      <c r="V12" s="45"/>
      <c r="W12" s="45"/>
      <c r="X12" s="6"/>
      <c r="Y12" s="45"/>
      <c r="Z12" s="45"/>
      <c r="AA12" s="6"/>
      <c r="AB12" s="45"/>
      <c r="AC12" s="45"/>
      <c r="AD12" s="6"/>
    </row>
    <row r="13" spans="1:40" ht="18" x14ac:dyDescent="0.35">
      <c r="A13" s="7"/>
      <c r="D13" s="113"/>
      <c r="E13" s="114" t="s">
        <v>195</v>
      </c>
      <c r="F13" s="115">
        <f>SUM(F5:F10)*44/12</f>
        <v>3.8913840386212892</v>
      </c>
      <c r="G13" s="4"/>
      <c r="H13" s="114" t="s">
        <v>196</v>
      </c>
      <c r="I13" s="58">
        <f>SUM(I5:I10)*44/12</f>
        <v>1979.5784703625425</v>
      </c>
      <c r="J13" s="4"/>
      <c r="K13" s="114" t="s">
        <v>197</v>
      </c>
      <c r="L13" s="58">
        <v>7462.1222526600222</v>
      </c>
      <c r="M13" s="37"/>
      <c r="N13" s="37" t="s">
        <v>197</v>
      </c>
      <c r="O13" s="37">
        <v>11808.354343206667</v>
      </c>
      <c r="P13" s="4"/>
      <c r="Q13" s="114" t="s">
        <v>196</v>
      </c>
      <c r="R13" s="58">
        <f>SUM(R5:R10)*44/12</f>
        <v>17886.023748113712</v>
      </c>
      <c r="S13" s="4"/>
      <c r="T13" s="114" t="s">
        <v>196</v>
      </c>
      <c r="U13" s="58">
        <f>SUM(U5:U10)*44/12</f>
        <v>20388.824063988719</v>
      </c>
      <c r="V13" s="4"/>
      <c r="W13" s="114" t="s">
        <v>196</v>
      </c>
      <c r="X13" s="58">
        <f>SUM(X5:X10)*44/12</f>
        <v>22822.143063029773</v>
      </c>
      <c r="Y13" s="4"/>
      <c r="Z13" s="114" t="s">
        <v>196</v>
      </c>
      <c r="AA13" s="58">
        <f>SUM(AA5:AA10)*44/12</f>
        <v>24934.473168683911</v>
      </c>
      <c r="AB13" s="4"/>
      <c r="AC13" s="114" t="s">
        <v>196</v>
      </c>
      <c r="AD13" s="58">
        <f>SUM(AD5:AD10)*44/12</f>
        <v>26959.689123067437</v>
      </c>
      <c r="AE13" s="57"/>
      <c r="AF13" s="57"/>
      <c r="AG13" s="57"/>
      <c r="AK13" s="96"/>
    </row>
    <row r="14" spans="1:40" x14ac:dyDescent="0.3">
      <c r="A14" s="7"/>
      <c r="D14" s="116"/>
      <c r="E14" s="117" t="s">
        <v>198</v>
      </c>
      <c r="F14" s="118"/>
      <c r="G14" s="116"/>
      <c r="H14" s="117" t="s">
        <v>199</v>
      </c>
      <c r="I14" s="118"/>
      <c r="J14" s="116"/>
      <c r="K14" s="117" t="s">
        <v>199</v>
      </c>
      <c r="L14" s="118"/>
      <c r="M14" s="10"/>
      <c r="N14" s="10" t="s">
        <v>199</v>
      </c>
      <c r="O14" s="10"/>
      <c r="P14" s="116"/>
      <c r="Q14" s="117" t="s">
        <v>199</v>
      </c>
      <c r="R14" s="118"/>
      <c r="S14" s="116"/>
      <c r="T14" s="117" t="s">
        <v>199</v>
      </c>
      <c r="U14" s="118"/>
      <c r="V14" s="116"/>
      <c r="W14" s="117" t="s">
        <v>199</v>
      </c>
      <c r="X14" s="118"/>
      <c r="Y14" s="116"/>
      <c r="Z14" s="117" t="s">
        <v>199</v>
      </c>
      <c r="AA14" s="118"/>
      <c r="AB14" s="116"/>
      <c r="AC14" s="117" t="s">
        <v>199</v>
      </c>
      <c r="AD14" s="118"/>
    </row>
    <row r="15" spans="1:40" x14ac:dyDescent="0.3">
      <c r="A15" s="7"/>
      <c r="Q15" s="40"/>
      <c r="R15" s="37"/>
      <c r="S15" s="37"/>
      <c r="T15" s="37"/>
      <c r="U15" s="58"/>
      <c r="V15" s="57"/>
      <c r="W15" s="57"/>
      <c r="X15" s="57"/>
      <c r="Y15" s="57"/>
      <c r="AA15" s="6"/>
      <c r="AD15" s="6"/>
    </row>
    <row r="16" spans="1:40" x14ac:dyDescent="0.3">
      <c r="A16" s="7"/>
      <c r="E16" s="40" t="s">
        <v>200</v>
      </c>
      <c r="R16" s="57"/>
      <c r="S16" s="57"/>
      <c r="T16" s="57"/>
      <c r="V16" s="57"/>
      <c r="W16" s="57"/>
      <c r="X16" s="57"/>
      <c r="Y16" s="57"/>
      <c r="AA16" s="38">
        <f>AA13-$F13</f>
        <v>24930.581784645288</v>
      </c>
      <c r="AB16" s="57"/>
      <c r="AC16" s="57" t="s">
        <v>201</v>
      </c>
      <c r="AD16" s="100">
        <f>AD13-$F13</f>
        <v>26955.797739028814</v>
      </c>
      <c r="AE16" s="57"/>
      <c r="AF16" s="57"/>
    </row>
    <row r="17" spans="1:32" x14ac:dyDescent="0.3">
      <c r="A17" s="9"/>
      <c r="B17" s="10"/>
      <c r="C17" s="41"/>
      <c r="D17" s="41"/>
      <c r="E17" s="4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41"/>
      <c r="Q17" s="41"/>
      <c r="R17" s="62"/>
      <c r="S17" s="62"/>
      <c r="T17" s="62"/>
      <c r="U17" s="62"/>
      <c r="V17" s="62"/>
      <c r="W17" s="62"/>
      <c r="X17" s="62"/>
      <c r="Y17" s="62"/>
      <c r="Z17" s="10"/>
      <c r="AA17" s="118"/>
      <c r="AB17" s="10"/>
      <c r="AC17" s="10"/>
      <c r="AD17" s="118"/>
    </row>
    <row r="21" spans="1:32" x14ac:dyDescent="0.3">
      <c r="V21" s="96"/>
      <c r="W21" s="96"/>
      <c r="Y21" s="96"/>
      <c r="AA21" s="134">
        <f>AA13-X13</f>
        <v>2112.3301056541386</v>
      </c>
      <c r="AB21" s="96"/>
      <c r="AC21" s="57" t="s">
        <v>202</v>
      </c>
      <c r="AD21" s="134">
        <f>AD13-AA13</f>
        <v>2025.215954383526</v>
      </c>
      <c r="AE21" s="96"/>
      <c r="AF21" s="96"/>
    </row>
    <row r="24" spans="1:32" x14ac:dyDescent="0.3">
      <c r="AA24" s="1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3E19-FA4B-405C-92C4-E54A5860E4C4}">
  <sheetPr>
    <tabColor rgb="FF00B0F0"/>
    <pageSetUpPr fitToPage="1"/>
  </sheetPr>
  <dimension ref="A2:AI32"/>
  <sheetViews>
    <sheetView topLeftCell="I1" zoomScale="85" zoomScaleNormal="85" workbookViewId="0">
      <selection activeCell="AE26" sqref="AE26"/>
    </sheetView>
  </sheetViews>
  <sheetFormatPr defaultColWidth="9" defaultRowHeight="16.5" x14ac:dyDescent="0.3"/>
  <cols>
    <col min="1" max="1" width="13.28515625" style="2" customWidth="1"/>
    <col min="2" max="2" width="28.42578125" style="2" customWidth="1"/>
    <col min="3" max="3" width="8.42578125" style="11" bestFit="1" customWidth="1"/>
    <col min="4" max="4" width="12.42578125" style="11" bestFit="1" customWidth="1"/>
    <col min="5" max="5" width="11.85546875" style="11" bestFit="1" customWidth="1"/>
    <col min="6" max="6" width="11.85546875" style="2" bestFit="1" customWidth="1"/>
    <col min="7" max="15" width="11.85546875" style="2" customWidth="1"/>
    <col min="16" max="16" width="11.5703125" style="11" customWidth="1"/>
    <col min="17" max="17" width="11.85546875" style="11" bestFit="1" customWidth="1"/>
    <col min="18" max="18" width="11.85546875" style="2" bestFit="1" customWidth="1"/>
    <col min="19" max="24" width="11.85546875" style="2" customWidth="1"/>
    <col min="25" max="27" width="13.140625" style="2" customWidth="1"/>
    <col min="28" max="28" width="9.42578125" style="2" customWidth="1"/>
    <col min="29" max="29" width="16.5703125" style="2" bestFit="1" customWidth="1"/>
    <col min="30" max="31" width="9" style="2"/>
    <col min="32" max="32" width="15.5703125" style="2" bestFit="1" customWidth="1"/>
    <col min="33" max="16384" width="9" style="2"/>
  </cols>
  <sheetData>
    <row r="2" spans="1:35" x14ac:dyDescent="0.3">
      <c r="A2" s="64" t="s">
        <v>170</v>
      </c>
    </row>
    <row r="3" spans="1:35" x14ac:dyDescent="0.3">
      <c r="A3" s="4"/>
      <c r="B3" s="5"/>
      <c r="C3" s="45"/>
      <c r="D3" s="5"/>
      <c r="E3" s="5"/>
      <c r="F3" s="5" t="s">
        <v>171</v>
      </c>
      <c r="G3" s="119" t="s">
        <v>172</v>
      </c>
      <c r="H3" s="5"/>
      <c r="I3" s="6" t="s">
        <v>173</v>
      </c>
      <c r="J3" s="120" t="s">
        <v>174</v>
      </c>
      <c r="K3" s="5"/>
      <c r="L3" s="6" t="s">
        <v>173</v>
      </c>
      <c r="M3" s="120" t="s">
        <v>175</v>
      </c>
      <c r="N3" s="5"/>
      <c r="O3" s="6" t="s">
        <v>173</v>
      </c>
      <c r="P3" s="120" t="s">
        <v>176</v>
      </c>
      <c r="Q3" s="5"/>
      <c r="R3" s="6" t="s">
        <v>173</v>
      </c>
      <c r="S3" s="120" t="s">
        <v>177</v>
      </c>
      <c r="T3" s="5"/>
      <c r="U3" s="6" t="s">
        <v>173</v>
      </c>
      <c r="V3" s="120" t="s">
        <v>178</v>
      </c>
      <c r="W3" s="5"/>
      <c r="X3" s="6" t="s">
        <v>173</v>
      </c>
      <c r="Y3" s="120" t="s">
        <v>179</v>
      </c>
      <c r="Z3" s="5"/>
      <c r="AA3" s="6" t="s">
        <v>173</v>
      </c>
      <c r="AG3" s="2" t="s">
        <v>181</v>
      </c>
      <c r="AH3" s="2" t="s">
        <v>182</v>
      </c>
    </row>
    <row r="4" spans="1:35" s="16" customFormat="1" ht="67.5" x14ac:dyDescent="0.3">
      <c r="A4" s="36" t="s">
        <v>183</v>
      </c>
      <c r="B4" s="16" t="s">
        <v>184</v>
      </c>
      <c r="C4" s="43" t="s">
        <v>185</v>
      </c>
      <c r="D4" s="43" t="s">
        <v>186</v>
      </c>
      <c r="E4" s="43" t="s">
        <v>187</v>
      </c>
      <c r="F4" s="46" t="s">
        <v>188</v>
      </c>
      <c r="G4" s="111" t="s">
        <v>189</v>
      </c>
      <c r="H4" s="46" t="s">
        <v>190</v>
      </c>
      <c r="I4" s="47" t="s">
        <v>191</v>
      </c>
      <c r="J4" s="43" t="s">
        <v>189</v>
      </c>
      <c r="K4" s="43" t="s">
        <v>190</v>
      </c>
      <c r="L4" s="47" t="s">
        <v>191</v>
      </c>
      <c r="M4" s="111" t="s">
        <v>189</v>
      </c>
      <c r="N4" s="46" t="s">
        <v>190</v>
      </c>
      <c r="O4" s="47" t="s">
        <v>191</v>
      </c>
      <c r="P4" s="43" t="s">
        <v>189</v>
      </c>
      <c r="Q4" s="43" t="s">
        <v>190</v>
      </c>
      <c r="R4" s="47" t="s">
        <v>191</v>
      </c>
      <c r="S4" s="43" t="s">
        <v>189</v>
      </c>
      <c r="T4" s="43" t="s">
        <v>190</v>
      </c>
      <c r="U4" s="47" t="s">
        <v>191</v>
      </c>
      <c r="V4" s="43" t="s">
        <v>189</v>
      </c>
      <c r="W4" s="43" t="s">
        <v>190</v>
      </c>
      <c r="X4" s="47" t="s">
        <v>191</v>
      </c>
      <c r="Y4" s="43" t="s">
        <v>189</v>
      </c>
      <c r="Z4" s="43" t="s">
        <v>190</v>
      </c>
      <c r="AA4" s="47" t="s">
        <v>191</v>
      </c>
      <c r="AB4" s="43"/>
      <c r="AD4" s="2" t="s">
        <v>47</v>
      </c>
      <c r="AE4" s="2"/>
      <c r="AF4" s="2"/>
      <c r="AG4" s="16">
        <v>6063.66</v>
      </c>
      <c r="AH4" s="100">
        <f>'Net Abatement'!C11</f>
        <v>1989.3777113575743</v>
      </c>
      <c r="AI4" s="16" t="s">
        <v>192</v>
      </c>
    </row>
    <row r="5" spans="1:35" x14ac:dyDescent="0.3">
      <c r="A5" s="4" t="s">
        <v>56</v>
      </c>
      <c r="B5" s="5" t="s">
        <v>193</v>
      </c>
      <c r="C5" s="45">
        <f>'CEA Attributes'!F5</f>
        <v>8.76</v>
      </c>
      <c r="D5" s="37">
        <v>0</v>
      </c>
      <c r="E5" s="37">
        <v>0</v>
      </c>
      <c r="F5" s="12">
        <f t="shared" ref="F5:F10" si="0">(D5+E5)*C5</f>
        <v>0</v>
      </c>
      <c r="G5" s="107">
        <f>'Abatement - Report 1'!G4</f>
        <v>1.2359209471864601</v>
      </c>
      <c r="H5" s="12">
        <f>'Abatement - Report 1'!H4</f>
        <v>7.1879623380373001E-2</v>
      </c>
      <c r="I5" s="13">
        <f>'Abatement - Report 1'!I4</f>
        <v>11.456332998165456</v>
      </c>
      <c r="J5" s="37">
        <v>18.665415608397101</v>
      </c>
      <c r="K5" s="37">
        <v>1.88581557967057</v>
      </c>
      <c r="L5" s="13">
        <v>180.02878520747279</v>
      </c>
      <c r="M5" s="121">
        <v>36.533445444094802</v>
      </c>
      <c r="N5" s="123">
        <v>4.38537741230307</v>
      </c>
      <c r="O5" s="122">
        <v>358.44888822204535</v>
      </c>
      <c r="P5" s="37">
        <v>49.3035565994671</v>
      </c>
      <c r="Q5" s="37">
        <v>8.5171658063440407</v>
      </c>
      <c r="R5" s="13">
        <v>506.50952827490602</v>
      </c>
      <c r="S5" s="37">
        <f>JIN_CEA_01!E91</f>
        <v>56.138794009243099</v>
      </c>
      <c r="T5" s="37">
        <f>JIN_CEA_01!F91</f>
        <v>10.672326652149</v>
      </c>
      <c r="U5" s="13">
        <f>(T5+S5)*C5</f>
        <v>585.2654169937947</v>
      </c>
      <c r="V5" s="37">
        <f>JIN_CEA_01!E103</f>
        <v>60.6740395266009</v>
      </c>
      <c r="W5" s="37">
        <f>JIN_CEA_01!F103</f>
        <v>12.4976108362131</v>
      </c>
      <c r="X5" s="13">
        <f>(W5+V5)*C5</f>
        <v>640.98365717825072</v>
      </c>
      <c r="Y5" s="37">
        <f>JIN_CEA_01!E115</f>
        <v>64.975261136761105</v>
      </c>
      <c r="Z5" s="37">
        <f>JIN_CEA_01!F115</f>
        <v>14.0582565919276</v>
      </c>
      <c r="AA5" s="13">
        <f>(Z5+Y5)*C5</f>
        <v>692.33361530331308</v>
      </c>
      <c r="AB5" s="12"/>
      <c r="AD5" s="96">
        <f>AA5-X5</f>
        <v>51.349958125062358</v>
      </c>
      <c r="AE5" s="96">
        <f>AD5*(44/12)</f>
        <v>188.28317979189529</v>
      </c>
      <c r="AG5" s="125">
        <f>AD5/$AF$8</f>
        <v>8.9135301006178766E-2</v>
      </c>
      <c r="AH5" s="2">
        <f>AG5*$AG$4</f>
        <v>540.48615929912592</v>
      </c>
      <c r="AI5" s="99">
        <f>$AH$4*AG5</f>
        <v>177.32378111684039</v>
      </c>
    </row>
    <row r="6" spans="1:35" x14ac:dyDescent="0.3">
      <c r="A6" s="7" t="s">
        <v>194</v>
      </c>
      <c r="B6" s="2" t="s">
        <v>193</v>
      </c>
      <c r="C6" s="11">
        <f>'CEA Attributes'!G5</f>
        <v>2.7</v>
      </c>
      <c r="D6" s="57">
        <v>0</v>
      </c>
      <c r="E6" s="57">
        <v>0</v>
      </c>
      <c r="F6" s="12">
        <f t="shared" si="0"/>
        <v>0</v>
      </c>
      <c r="G6" s="107">
        <f>'Abatement - Report 1'!G5</f>
        <v>8.6244365766503908</v>
      </c>
      <c r="H6" s="12">
        <f>'Abatement - Report 1'!H5</f>
        <v>1.16397464519216</v>
      </c>
      <c r="I6" s="13">
        <f>'Abatement - Report 1'!I5</f>
        <v>26.428710298974892</v>
      </c>
      <c r="J6" s="57">
        <v>11.3926510530081</v>
      </c>
      <c r="K6" s="57">
        <v>2.1026674465216502</v>
      </c>
      <c r="L6" s="13">
        <v>36.437359948730325</v>
      </c>
      <c r="M6" s="107">
        <v>15.0085075230317</v>
      </c>
      <c r="N6" s="12">
        <v>2.81566298877744</v>
      </c>
      <c r="O6" s="13">
        <v>48.125260381884679</v>
      </c>
      <c r="P6" s="57">
        <v>20.3339430688013</v>
      </c>
      <c r="Q6" s="57">
        <v>4.1384045172013098</v>
      </c>
      <c r="R6" s="13">
        <v>66.075338482207044</v>
      </c>
      <c r="S6" s="57">
        <f>HID_CEA_01!E129</f>
        <v>22.545254457087001</v>
      </c>
      <c r="T6" s="57">
        <f>HID_CEA_01!F129</f>
        <v>2.1788460822775302</v>
      </c>
      <c r="U6" s="13">
        <f t="shared" ref="U6:U9" si="1">(T6+S6)*C6</f>
        <v>66.755071456284242</v>
      </c>
      <c r="V6" s="57">
        <f>HID_CEA_01!E141</f>
        <v>24.404293933540199</v>
      </c>
      <c r="W6" s="57">
        <f>HID_CEA_01!F141</f>
        <v>3.2140433074887</v>
      </c>
      <c r="X6" s="13">
        <f>(W6+V6)*C6</f>
        <v>74.569510550778034</v>
      </c>
      <c r="Y6" s="57">
        <f>HID_CEA_01!E153</f>
        <v>26.342406647741502</v>
      </c>
      <c r="Z6" s="57">
        <f>HID_CEA_01!F153</f>
        <v>4.0858451499377999</v>
      </c>
      <c r="AA6" s="13">
        <f t="shared" ref="AA6:AA10" si="2">(Z6+Y6)*C6</f>
        <v>82.156279853734119</v>
      </c>
      <c r="AB6" s="12"/>
      <c r="AC6" s="96"/>
      <c r="AD6" s="96">
        <f>AA6-X6</f>
        <v>7.5867693029560854</v>
      </c>
      <c r="AE6" s="96">
        <f>AD6*(44/12)</f>
        <v>27.818154110838979</v>
      </c>
      <c r="AG6" s="125">
        <f t="shared" ref="AG6:AG7" si="3">AD6/$AF$8</f>
        <v>1.3169416104224068E-2</v>
      </c>
      <c r="AH6" s="2">
        <f>AG6*$AG$4</f>
        <v>79.854861654539306</v>
      </c>
      <c r="AI6" s="99">
        <f>$AH$4*AG6</f>
        <v>26.198942869336861</v>
      </c>
    </row>
    <row r="7" spans="1:35" x14ac:dyDescent="0.3">
      <c r="A7" s="7" t="s">
        <v>58</v>
      </c>
      <c r="B7" s="2" t="s">
        <v>193</v>
      </c>
      <c r="C7" s="11">
        <f>'CEA Attributes'!H5</f>
        <v>3.24</v>
      </c>
      <c r="D7" s="57">
        <f>LIS_CEA_01!E20</f>
        <v>0.29377931116845402</v>
      </c>
      <c r="E7" s="57">
        <f>LIS_CEA_01!F20</f>
        <v>3.3778267840071999E-2</v>
      </c>
      <c r="F7" s="12">
        <f t="shared" si="0"/>
        <v>1.0612865559876243</v>
      </c>
      <c r="G7" s="107">
        <f>'Abatement - Report 1'!G6</f>
        <v>3.6519413209689802</v>
      </c>
      <c r="H7" s="12">
        <f>'Abatement - Report 1'!H6</f>
        <v>0.64600860840964303</v>
      </c>
      <c r="I7" s="13">
        <f>'Abatement - Report 1'!I6</f>
        <v>13.925357771186739</v>
      </c>
      <c r="J7" s="57">
        <v>6.0646123413446897</v>
      </c>
      <c r="K7" s="57">
        <v>1.1987737889733701</v>
      </c>
      <c r="L7" s="13">
        <v>23.533371062230515</v>
      </c>
      <c r="M7" s="107">
        <v>7.8642870539988001</v>
      </c>
      <c r="N7" s="12">
        <v>1.6702547412923601</v>
      </c>
      <c r="O7" s="13">
        <v>30.891915416743359</v>
      </c>
      <c r="P7" s="57">
        <v>13.213962548440399</v>
      </c>
      <c r="Q7" s="57">
        <v>3.1108819478795899</v>
      </c>
      <c r="R7" s="13">
        <v>52.892496168076768</v>
      </c>
      <c r="S7" s="57">
        <f>LIS_CEA_01!E146</f>
        <v>16.470799756928599</v>
      </c>
      <c r="T7" s="57">
        <f>LIS_CEA_01!F146</f>
        <v>3.7039664103460201</v>
      </c>
      <c r="U7" s="13">
        <f t="shared" si="1"/>
        <v>65.366242381969769</v>
      </c>
      <c r="V7" s="57">
        <f>LIS_CEA_01!E158</f>
        <v>19.424543978654501</v>
      </c>
      <c r="W7" s="57">
        <f>LIS_CEA_01!F158</f>
        <v>4.2933919409542698</v>
      </c>
      <c r="X7" s="13">
        <f t="shared" ref="X7:X10" si="4">(W7+V7)*C7</f>
        <v>76.846112379532414</v>
      </c>
      <c r="Y7" s="57">
        <f>LIS_CEA_01!E170</f>
        <v>20.789579719724198</v>
      </c>
      <c r="Z7" s="57">
        <f>LIS_CEA_01!F170</f>
        <v>4.8296846444188199</v>
      </c>
      <c r="AA7" s="13">
        <f t="shared" si="2"/>
        <v>83.006416539823377</v>
      </c>
      <c r="AB7" s="12"/>
      <c r="AC7" s="96"/>
      <c r="AD7" s="96">
        <f>AA7-X7</f>
        <v>6.1603041602909627</v>
      </c>
      <c r="AE7" s="96">
        <f>AD7*(44/12)</f>
        <v>22.587781921066863</v>
      </c>
      <c r="AG7" s="125">
        <f t="shared" si="3"/>
        <v>1.0693301137263264E-2</v>
      </c>
      <c r="AH7" s="2">
        <f t="shared" ref="AH7" si="5">AG7*$AG$4</f>
        <v>64.840542373977755</v>
      </c>
      <c r="AI7" s="99">
        <f t="shared" ref="AI7" si="6">$AH$4*AG7</f>
        <v>21.273014943306137</v>
      </c>
    </row>
    <row r="8" spans="1:35" x14ac:dyDescent="0.3">
      <c r="A8" s="7" t="s">
        <v>53</v>
      </c>
      <c r="B8" s="2" t="s">
        <v>193</v>
      </c>
      <c r="C8" s="11">
        <f>'CEA Attributes'!C5</f>
        <v>13.77</v>
      </c>
      <c r="D8" s="57">
        <v>0</v>
      </c>
      <c r="E8" s="57">
        <v>0</v>
      </c>
      <c r="F8" s="12">
        <f t="shared" si="0"/>
        <v>0</v>
      </c>
      <c r="G8" s="107">
        <f>'Abatement - Report 1'!G7</f>
        <v>4.4925290194678702</v>
      </c>
      <c r="H8" s="12">
        <f>'Abatement - Report 1'!H7</f>
        <v>0.171312188465577</v>
      </c>
      <c r="I8" s="13">
        <f>'Abatement - Report 1'!I7</f>
        <v>64.221093433243567</v>
      </c>
      <c r="J8" s="57">
        <v>15.292900319298999</v>
      </c>
      <c r="K8" s="57">
        <v>1.87171380331843</v>
      </c>
      <c r="L8" s="13">
        <v>236.35673646844199</v>
      </c>
      <c r="M8" s="107">
        <v>23.2469995082702</v>
      </c>
      <c r="N8" s="12">
        <v>3.3669807256600901</v>
      </c>
      <c r="O8" s="13">
        <v>366.47450782122013</v>
      </c>
      <c r="P8" s="57">
        <v>34.431616564614899</v>
      </c>
      <c r="Q8" s="57">
        <v>6.2363016207602202</v>
      </c>
      <c r="R8" s="13">
        <v>559.9972334126154</v>
      </c>
      <c r="S8" s="57">
        <f>STE_CEA_01!E90</f>
        <v>38.837186238780703</v>
      </c>
      <c r="T8" s="57">
        <f>STE_CEA_01!F90</f>
        <v>7.4784789416641697</v>
      </c>
      <c r="U8" s="13">
        <f t="shared" si="1"/>
        <v>637.76670953472592</v>
      </c>
      <c r="V8" s="57">
        <f>STE_CEA_01!E102</f>
        <v>43.347082876030001</v>
      </c>
      <c r="W8" s="57">
        <f>STE_CEA_01!F102</f>
        <v>8.5966301594826504</v>
      </c>
      <c r="X8" s="13">
        <f t="shared" si="4"/>
        <v>715.26492849900922</v>
      </c>
      <c r="Y8" s="57">
        <f>STE_CEA_01!E114</f>
        <v>47.219660709466098</v>
      </c>
      <c r="Z8" s="57">
        <f>STE_CEA_01!F114</f>
        <v>9.6093875324606408</v>
      </c>
      <c r="AA8" s="13">
        <f t="shared" si="2"/>
        <v>782.53599429133124</v>
      </c>
      <c r="AB8" s="12"/>
      <c r="AC8" s="96"/>
      <c r="AD8" s="96">
        <f>SUM(AA8:AA10)-SUM(X8:X10)</f>
        <v>510.99299722645719</v>
      </c>
      <c r="AE8" s="96">
        <f t="shared" ref="AE8" si="7">AD8*(44/12)</f>
        <v>1873.640989830343</v>
      </c>
      <c r="AF8" s="124">
        <f>SUM(AA5:AA10)-SUM(X5:X10)</f>
        <v>576.0900288147659</v>
      </c>
      <c r="AG8" s="125">
        <f>AD8/$AF$8</f>
        <v>0.88700198175233513</v>
      </c>
      <c r="AH8" s="2">
        <f>AG8*$AG$4</f>
        <v>5378.4784366723643</v>
      </c>
      <c r="AI8" s="99">
        <f>$AH$4*AG8</f>
        <v>1764.5819724280934</v>
      </c>
    </row>
    <row r="9" spans="1:35" x14ac:dyDescent="0.3">
      <c r="A9" s="7" t="s">
        <v>54</v>
      </c>
      <c r="B9" s="2" t="s">
        <v>193</v>
      </c>
      <c r="C9" s="11">
        <f>'CEA Attributes'!D5</f>
        <v>24.62</v>
      </c>
      <c r="D9" s="57">
        <v>0</v>
      </c>
      <c r="E9" s="57">
        <v>0</v>
      </c>
      <c r="F9" s="12">
        <f t="shared" si="0"/>
        <v>0</v>
      </c>
      <c r="G9" s="107">
        <f>'Abatement - Report 1'!G8</f>
        <v>4.5082506241216302</v>
      </c>
      <c r="H9" s="12">
        <f>'Abatement - Report 1'!H8</f>
        <v>0.17253132396936899</v>
      </c>
      <c r="I9" s="13">
        <f>'Abatement - Report 1'!I8</f>
        <v>115.2408515620004</v>
      </c>
      <c r="J9" s="57">
        <v>15.3374014504288</v>
      </c>
      <c r="K9" s="57">
        <v>1.87903751706196</v>
      </c>
      <c r="L9" s="13">
        <v>423.8687273796225</v>
      </c>
      <c r="M9" s="107">
        <v>23.310062851119699</v>
      </c>
      <c r="N9" s="12">
        <v>3.3806721298769902</v>
      </c>
      <c r="O9" s="13">
        <v>657.12589523213853</v>
      </c>
      <c r="P9" s="57">
        <v>34.520036794364202</v>
      </c>
      <c r="Q9" s="57">
        <v>6.2648942990542897</v>
      </c>
      <c r="R9" s="13">
        <v>1004.1250035199633</v>
      </c>
      <c r="S9" s="57">
        <f>STE_CEA_02!E90</f>
        <v>38.935505446527102</v>
      </c>
      <c r="T9" s="57">
        <f>STE_CEA_02!F90</f>
        <v>7.5147015605023801</v>
      </c>
      <c r="U9" s="13">
        <f t="shared" si="1"/>
        <v>1143.604096513066</v>
      </c>
      <c r="V9" s="57">
        <f>STE_CEA_02!E102</f>
        <v>43.455542670686199</v>
      </c>
      <c r="W9" s="57">
        <f>STE_CEA_02!F102</f>
        <v>8.6402690937145898</v>
      </c>
      <c r="X9" s="13">
        <f t="shared" si="4"/>
        <v>1282.5988856395475</v>
      </c>
      <c r="Y9" s="57">
        <f>STE_CEA_02!E114</f>
        <v>47.336820963875503</v>
      </c>
      <c r="Z9" s="57">
        <f>STE_CEA_02!F114</f>
        <v>9.6601314561638105</v>
      </c>
      <c r="AA9" s="13">
        <f t="shared" si="2"/>
        <v>1403.2649685813681</v>
      </c>
      <c r="AB9" s="12"/>
      <c r="AD9" s="96"/>
      <c r="AE9" s="96"/>
      <c r="AI9" s="99">
        <f>SUM(AI5:AI8)</f>
        <v>1989.3777113575768</v>
      </c>
    </row>
    <row r="10" spans="1:35" x14ac:dyDescent="0.3">
      <c r="A10" s="7" t="s">
        <v>55</v>
      </c>
      <c r="B10" s="2" t="s">
        <v>193</v>
      </c>
      <c r="C10" s="11">
        <f>'CEA Attributes'!E5</f>
        <v>66.16</v>
      </c>
      <c r="D10" s="62">
        <v>0</v>
      </c>
      <c r="E10" s="62">
        <v>0</v>
      </c>
      <c r="F10" s="12">
        <f t="shared" si="0"/>
        <v>0</v>
      </c>
      <c r="G10" s="108">
        <f>'Abatement - Report 1'!G9</f>
        <v>4.4925866900188502</v>
      </c>
      <c r="H10" s="109">
        <f>'Abatement - Report 1'!H9</f>
        <v>0.17205495611221899</v>
      </c>
      <c r="I10" s="110">
        <f>'Abatement - Report 1'!I9</f>
        <v>308.61269130803151</v>
      </c>
      <c r="J10" s="57">
        <v>15.281489546836299</v>
      </c>
      <c r="K10" s="57">
        <v>1.8723688367635001</v>
      </c>
      <c r="L10" s="13">
        <v>1134.8992706589627</v>
      </c>
      <c r="M10" s="108">
        <v>23.224519498307099</v>
      </c>
      <c r="N10" s="109">
        <v>3.3684945335243501</v>
      </c>
      <c r="O10" s="110">
        <v>1759.3938083459686</v>
      </c>
      <c r="P10" s="57">
        <v>34.392830092644097</v>
      </c>
      <c r="Q10" s="57">
        <v>6.2420985183068796</v>
      </c>
      <c r="R10" s="13">
        <v>2688.4068769005166</v>
      </c>
      <c r="S10" s="57">
        <f>STE_CEA_03!E90</f>
        <v>38.791888072313398</v>
      </c>
      <c r="T10" s="57">
        <f>STE_CEA_03!F90</f>
        <v>7.4872963927408902</v>
      </c>
      <c r="U10" s="13">
        <f>(T10+S10)*C10</f>
        <v>3061.8308442079915</v>
      </c>
      <c r="V10" s="57">
        <f>STE_CEA_03!E102</f>
        <v>43.295125981068303</v>
      </c>
      <c r="W10" s="57">
        <f>STE_CEA_03!F102</f>
        <v>8.6087092838143793</v>
      </c>
      <c r="X10" s="13">
        <f t="shared" si="4"/>
        <v>3433.9577411246378</v>
      </c>
      <c r="Y10" s="57">
        <f>STE_CEA_03!E114</f>
        <v>47.161978990795397</v>
      </c>
      <c r="Z10" s="57">
        <f>STE_CEA_03!F114</f>
        <v>9.6248044072842909</v>
      </c>
      <c r="AA10" s="13">
        <f t="shared" si="2"/>
        <v>3757.0135896169522</v>
      </c>
      <c r="AB10" s="12"/>
      <c r="AD10" s="96"/>
      <c r="AE10" s="96"/>
    </row>
    <row r="11" spans="1:35" x14ac:dyDescent="0.3">
      <c r="A11" s="52"/>
      <c r="B11" s="53"/>
      <c r="C11" s="54"/>
      <c r="D11" s="87"/>
      <c r="E11" s="87"/>
      <c r="F11" s="55"/>
      <c r="G11" s="55"/>
      <c r="H11" s="55"/>
      <c r="I11" s="55"/>
      <c r="J11" s="54"/>
      <c r="K11" s="54"/>
      <c r="L11" s="56"/>
      <c r="M11" s="55"/>
      <c r="N11" s="55"/>
      <c r="O11" s="55"/>
      <c r="P11" s="54"/>
      <c r="Q11" s="54"/>
      <c r="R11" s="56"/>
      <c r="S11" s="54"/>
      <c r="T11" s="54"/>
      <c r="U11" s="56"/>
      <c r="V11" s="54"/>
      <c r="W11" s="54"/>
      <c r="X11" s="56"/>
      <c r="Y11" s="54"/>
      <c r="Z11" s="54"/>
      <c r="AA11" s="56"/>
      <c r="AB11" s="131"/>
    </row>
    <row r="12" spans="1:35" x14ac:dyDescent="0.3">
      <c r="A12" s="4"/>
      <c r="B12" s="5"/>
      <c r="C12" s="45"/>
      <c r="D12" s="45"/>
      <c r="E12" s="45"/>
      <c r="F12" s="5"/>
      <c r="G12" s="5"/>
      <c r="H12" s="5"/>
      <c r="I12" s="5"/>
      <c r="J12" s="45"/>
      <c r="K12" s="45"/>
      <c r="L12" s="6"/>
      <c r="M12" s="5"/>
      <c r="N12" s="5"/>
      <c r="O12" s="5"/>
      <c r="P12" s="45"/>
      <c r="Q12" s="45"/>
      <c r="R12" s="6"/>
      <c r="S12" s="45"/>
      <c r="T12" s="45"/>
      <c r="U12" s="6"/>
      <c r="V12" s="45"/>
      <c r="W12" s="45"/>
      <c r="X12" s="6"/>
      <c r="Y12" s="45"/>
      <c r="Z12" s="45"/>
      <c r="AA12" s="6"/>
    </row>
    <row r="13" spans="1:35" ht="18" x14ac:dyDescent="0.35">
      <c r="A13" s="7"/>
      <c r="D13" s="113"/>
      <c r="E13" s="114" t="s">
        <v>195</v>
      </c>
      <c r="F13" s="115">
        <f>SUM(F5:F10)*44/12</f>
        <v>3.8913840386212892</v>
      </c>
      <c r="G13" s="4"/>
      <c r="H13" s="114" t="s">
        <v>196</v>
      </c>
      <c r="I13" s="58">
        <f>SUM(I5:I10)*44/12</f>
        <v>1979.5784703625425</v>
      </c>
      <c r="J13" s="4"/>
      <c r="K13" s="114" t="s">
        <v>197</v>
      </c>
      <c r="L13" s="58">
        <v>7462.1222526600222</v>
      </c>
      <c r="M13" s="37"/>
      <c r="N13" s="37" t="s">
        <v>197</v>
      </c>
      <c r="O13" s="37">
        <v>11808.354343206667</v>
      </c>
      <c r="P13" s="4"/>
      <c r="Q13" s="114" t="s">
        <v>196</v>
      </c>
      <c r="R13" s="58">
        <f>SUM(R5:R10)*44/12</f>
        <v>17886.023748113712</v>
      </c>
      <c r="S13" s="4"/>
      <c r="T13" s="114" t="s">
        <v>196</v>
      </c>
      <c r="U13" s="58">
        <f>SUM(U5:U10)*44/12</f>
        <v>20388.824063988719</v>
      </c>
      <c r="V13" s="4"/>
      <c r="W13" s="114" t="s">
        <v>196</v>
      </c>
      <c r="X13" s="58">
        <f>SUM(X5:X10)*44/12</f>
        <v>22822.143063029773</v>
      </c>
      <c r="Y13" s="4"/>
      <c r="Z13" s="114" t="s">
        <v>196</v>
      </c>
      <c r="AA13" s="58">
        <f>SUM(AA5:AA10)*44/12</f>
        <v>24934.473168683911</v>
      </c>
      <c r="AB13" s="57"/>
      <c r="AF13" s="96"/>
    </row>
    <row r="14" spans="1:35" x14ac:dyDescent="0.3">
      <c r="A14" s="7"/>
      <c r="D14" s="116"/>
      <c r="E14" s="117" t="s">
        <v>198</v>
      </c>
      <c r="F14" s="118"/>
      <c r="G14" s="116"/>
      <c r="H14" s="117" t="s">
        <v>199</v>
      </c>
      <c r="I14" s="118"/>
      <c r="J14" s="116"/>
      <c r="K14" s="117" t="s">
        <v>199</v>
      </c>
      <c r="L14" s="118"/>
      <c r="M14" s="10"/>
      <c r="N14" s="10" t="s">
        <v>199</v>
      </c>
      <c r="O14" s="10"/>
      <c r="P14" s="116"/>
      <c r="Q14" s="117" t="s">
        <v>199</v>
      </c>
      <c r="R14" s="118"/>
      <c r="S14" s="116"/>
      <c r="T14" s="117" t="s">
        <v>199</v>
      </c>
      <c r="U14" s="118"/>
      <c r="V14" s="116"/>
      <c r="W14" s="117" t="s">
        <v>199</v>
      </c>
      <c r="X14" s="118"/>
      <c r="Y14" s="116"/>
      <c r="Z14" s="117" t="s">
        <v>199</v>
      </c>
      <c r="AA14" s="118"/>
    </row>
    <row r="15" spans="1:35" x14ac:dyDescent="0.3">
      <c r="A15" s="7"/>
      <c r="Q15" s="40"/>
      <c r="R15" s="37"/>
      <c r="S15" s="37"/>
      <c r="T15" s="37"/>
      <c r="U15" s="58"/>
      <c r="V15" s="57"/>
      <c r="W15" s="57"/>
      <c r="X15" s="57"/>
      <c r="Y15" s="57"/>
    </row>
    <row r="16" spans="1:35" x14ac:dyDescent="0.3">
      <c r="A16" s="7"/>
      <c r="E16" s="40" t="s">
        <v>200</v>
      </c>
      <c r="R16" s="57"/>
      <c r="S16" s="57"/>
      <c r="T16" s="57"/>
      <c r="V16" s="57"/>
      <c r="W16" s="57"/>
      <c r="X16" s="38"/>
      <c r="Y16" s="57"/>
      <c r="AA16" s="38">
        <f>AA13-F13</f>
        <v>24930.581784645288</v>
      </c>
    </row>
    <row r="17" spans="1:27" x14ac:dyDescent="0.3">
      <c r="A17" s="9"/>
      <c r="B17" s="10"/>
      <c r="C17" s="41"/>
      <c r="D17" s="41"/>
      <c r="E17" s="4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41"/>
      <c r="Q17" s="41"/>
      <c r="R17" s="62"/>
      <c r="S17" s="62"/>
      <c r="T17" s="62"/>
      <c r="U17" s="39"/>
      <c r="V17" s="57"/>
      <c r="W17" s="57"/>
      <c r="X17" s="57"/>
      <c r="Y17" s="57"/>
    </row>
    <row r="21" spans="1:27" x14ac:dyDescent="0.3">
      <c r="V21" s="96"/>
      <c r="W21" s="96"/>
      <c r="Y21" s="96"/>
      <c r="AA21" s="96">
        <f>AA13-X13</f>
        <v>2112.3301056541386</v>
      </c>
    </row>
    <row r="32" spans="1:27" x14ac:dyDescent="0.3">
      <c r="Q32" s="11">
        <f>576*44/12</f>
        <v>2112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2313-824C-4E97-ABD8-EA591B066578}">
  <sheetPr>
    <tabColor rgb="FF00B0F0"/>
    <pageSetUpPr fitToPage="1"/>
  </sheetPr>
  <dimension ref="A2:AF21"/>
  <sheetViews>
    <sheetView topLeftCell="N1" zoomScale="85" zoomScaleNormal="85" workbookViewId="0">
      <selection activeCell="AA14" sqref="AA14"/>
    </sheetView>
  </sheetViews>
  <sheetFormatPr defaultColWidth="9" defaultRowHeight="16.5" x14ac:dyDescent="0.3"/>
  <cols>
    <col min="1" max="1" width="13.28515625" style="2" customWidth="1"/>
    <col min="2" max="2" width="28.42578125" style="2" customWidth="1"/>
    <col min="3" max="3" width="8.42578125" style="11" bestFit="1" customWidth="1"/>
    <col min="4" max="4" width="12.42578125" style="11" bestFit="1" customWidth="1"/>
    <col min="5" max="5" width="11.85546875" style="11" bestFit="1" customWidth="1"/>
    <col min="6" max="6" width="11.85546875" style="2" bestFit="1" customWidth="1"/>
    <col min="7" max="15" width="11.85546875" style="2" customWidth="1"/>
    <col min="16" max="16" width="11.5703125" style="11" customWidth="1"/>
    <col min="17" max="17" width="11.85546875" style="11" bestFit="1" customWidth="1"/>
    <col min="18" max="18" width="11.85546875" style="2" bestFit="1" customWidth="1"/>
    <col min="19" max="25" width="11.85546875" style="2" customWidth="1"/>
    <col min="26" max="26" width="7.7109375" style="2" customWidth="1"/>
    <col min="27" max="27" width="9.42578125" style="2" bestFit="1" customWidth="1"/>
    <col min="28" max="28" width="9.42578125" style="2" customWidth="1"/>
    <col min="29" max="29" width="16.5703125" style="2" bestFit="1" customWidth="1"/>
    <col min="30" max="31" width="9" style="2"/>
    <col min="32" max="32" width="9.42578125" style="2" bestFit="1" customWidth="1"/>
    <col min="33" max="16384" width="9" style="2"/>
  </cols>
  <sheetData>
    <row r="2" spans="1:32" x14ac:dyDescent="0.3">
      <c r="A2" s="64" t="s">
        <v>170</v>
      </c>
    </row>
    <row r="3" spans="1:32" x14ac:dyDescent="0.3">
      <c r="A3" s="4"/>
      <c r="B3" s="5"/>
      <c r="C3" s="45"/>
      <c r="D3" s="5"/>
      <c r="E3" s="5"/>
      <c r="F3" s="5" t="s">
        <v>171</v>
      </c>
      <c r="G3" s="119" t="s">
        <v>172</v>
      </c>
      <c r="H3" s="5"/>
      <c r="I3" s="6" t="s">
        <v>173</v>
      </c>
      <c r="J3" s="120" t="s">
        <v>174</v>
      </c>
      <c r="K3" s="5"/>
      <c r="L3" s="6" t="s">
        <v>173</v>
      </c>
      <c r="M3" s="120" t="s">
        <v>175</v>
      </c>
      <c r="N3" s="5"/>
      <c r="O3" s="6" t="s">
        <v>173</v>
      </c>
      <c r="P3" s="120" t="s">
        <v>176</v>
      </c>
      <c r="Q3" s="5"/>
      <c r="R3" s="6" t="s">
        <v>173</v>
      </c>
      <c r="S3" s="120" t="s">
        <v>177</v>
      </c>
      <c r="T3" s="5"/>
      <c r="U3" s="6" t="s">
        <v>173</v>
      </c>
      <c r="V3" s="120" t="s">
        <v>178</v>
      </c>
      <c r="W3" s="5"/>
      <c r="X3" s="6" t="s">
        <v>173</v>
      </c>
      <c r="AD3" s="2" t="s">
        <v>181</v>
      </c>
      <c r="AE3" s="2" t="s">
        <v>182</v>
      </c>
    </row>
    <row r="4" spans="1:32" s="16" customFormat="1" ht="67.5" x14ac:dyDescent="0.3">
      <c r="A4" s="36" t="s">
        <v>183</v>
      </c>
      <c r="B4" s="16" t="s">
        <v>184</v>
      </c>
      <c r="C4" s="43" t="s">
        <v>185</v>
      </c>
      <c r="D4" s="43" t="s">
        <v>186</v>
      </c>
      <c r="E4" s="43" t="s">
        <v>187</v>
      </c>
      <c r="F4" s="46" t="s">
        <v>188</v>
      </c>
      <c r="G4" s="111" t="s">
        <v>189</v>
      </c>
      <c r="H4" s="46" t="s">
        <v>190</v>
      </c>
      <c r="I4" s="47" t="s">
        <v>191</v>
      </c>
      <c r="J4" s="43" t="s">
        <v>189</v>
      </c>
      <c r="K4" s="43" t="s">
        <v>190</v>
      </c>
      <c r="L4" s="47" t="s">
        <v>191</v>
      </c>
      <c r="M4" s="111" t="s">
        <v>189</v>
      </c>
      <c r="N4" s="46" t="s">
        <v>190</v>
      </c>
      <c r="O4" s="47" t="s">
        <v>191</v>
      </c>
      <c r="P4" s="43" t="s">
        <v>189</v>
      </c>
      <c r="Q4" s="43" t="s">
        <v>190</v>
      </c>
      <c r="R4" s="47" t="s">
        <v>191</v>
      </c>
      <c r="S4" s="43" t="s">
        <v>189</v>
      </c>
      <c r="T4" s="43" t="s">
        <v>190</v>
      </c>
      <c r="U4" s="47" t="s">
        <v>191</v>
      </c>
      <c r="V4" s="43" t="s">
        <v>189</v>
      </c>
      <c r="W4" s="43" t="s">
        <v>190</v>
      </c>
      <c r="X4" s="47" t="s">
        <v>191</v>
      </c>
      <c r="Y4" s="43"/>
      <c r="AA4" s="2" t="s">
        <v>47</v>
      </c>
      <c r="AB4" s="2"/>
      <c r="AC4" s="2"/>
      <c r="AD4" s="16">
        <v>6063.66</v>
      </c>
      <c r="AE4" s="100">
        <f>'Net Abatement'!C11</f>
        <v>1989.3777113575743</v>
      </c>
      <c r="AF4" s="16" t="s">
        <v>192</v>
      </c>
    </row>
    <row r="5" spans="1:32" x14ac:dyDescent="0.3">
      <c r="A5" s="4" t="s">
        <v>56</v>
      </c>
      <c r="B5" s="5" t="s">
        <v>193</v>
      </c>
      <c r="C5" s="45">
        <f>'CEA Attributes'!F5</f>
        <v>8.76</v>
      </c>
      <c r="D5" s="37">
        <v>0</v>
      </c>
      <c r="E5" s="37">
        <v>0</v>
      </c>
      <c r="F5" s="12">
        <f t="shared" ref="F5:F10" si="0">(D5+E5)*C5</f>
        <v>0</v>
      </c>
      <c r="G5" s="107">
        <f>'Abatement - Report 1'!G4</f>
        <v>1.2359209471864601</v>
      </c>
      <c r="H5" s="12">
        <f>'Abatement - Report 1'!H4</f>
        <v>7.1879623380373001E-2</v>
      </c>
      <c r="I5" s="13">
        <f>'Abatement - Report 1'!I4</f>
        <v>11.456332998165456</v>
      </c>
      <c r="J5" s="37">
        <v>18.665415608397101</v>
      </c>
      <c r="K5" s="37">
        <v>1.88581557967057</v>
      </c>
      <c r="L5" s="13">
        <v>180.02878520747279</v>
      </c>
      <c r="M5" s="121">
        <v>36.533445444094802</v>
      </c>
      <c r="N5" s="123">
        <v>4.38537741230307</v>
      </c>
      <c r="O5" s="122">
        <v>358.44888822204535</v>
      </c>
      <c r="P5" s="37">
        <v>49.3035565994671</v>
      </c>
      <c r="Q5" s="37">
        <v>8.5171658063440407</v>
      </c>
      <c r="R5" s="13">
        <v>506.50952827490602</v>
      </c>
      <c r="S5" s="37">
        <f>JIN_CEA_01!E91</f>
        <v>56.138794009243099</v>
      </c>
      <c r="T5" s="37">
        <f>JIN_CEA_01!F91</f>
        <v>10.672326652149</v>
      </c>
      <c r="U5" s="13">
        <f>(T5+S5)*C5</f>
        <v>585.2654169937947</v>
      </c>
      <c r="V5" s="37">
        <f>JIN_CEA_01!E103</f>
        <v>60.6740395266009</v>
      </c>
      <c r="W5" s="37">
        <f>JIN_CEA_01!F103</f>
        <v>12.4976108362131</v>
      </c>
      <c r="X5" s="13">
        <f>(W5+V5)*C5</f>
        <v>640.98365717825072</v>
      </c>
      <c r="Y5" s="12"/>
      <c r="AA5" s="96">
        <f>X5-U5</f>
        <v>55.718240184456022</v>
      </c>
      <c r="AB5" s="96">
        <f>AA5*(44/12)</f>
        <v>204.30021400967206</v>
      </c>
      <c r="AD5" s="125">
        <f>AA5/$AC$8</f>
        <v>8.3959486647736975E-2</v>
      </c>
      <c r="AE5" s="2">
        <f>AD5*$AD$4</f>
        <v>509.1017808064168</v>
      </c>
      <c r="AF5" s="99">
        <f>$AE$4*AD5</f>
        <v>167.02713139403181</v>
      </c>
    </row>
    <row r="6" spans="1:32" x14ac:dyDescent="0.3">
      <c r="A6" s="7" t="s">
        <v>194</v>
      </c>
      <c r="B6" s="2" t="s">
        <v>193</v>
      </c>
      <c r="C6" s="11">
        <f>'CEA Attributes'!G5</f>
        <v>2.7</v>
      </c>
      <c r="D6" s="57">
        <v>0</v>
      </c>
      <c r="E6" s="57">
        <v>0</v>
      </c>
      <c r="F6" s="12">
        <f t="shared" si="0"/>
        <v>0</v>
      </c>
      <c r="G6" s="107">
        <f>'Abatement - Report 1'!G5</f>
        <v>8.6244365766503908</v>
      </c>
      <c r="H6" s="12">
        <f>'Abatement - Report 1'!H5</f>
        <v>1.16397464519216</v>
      </c>
      <c r="I6" s="13">
        <f>'Abatement - Report 1'!I5</f>
        <v>26.428710298974892</v>
      </c>
      <c r="J6" s="57">
        <v>11.3926510530081</v>
      </c>
      <c r="K6" s="57">
        <v>2.1026674465216502</v>
      </c>
      <c r="L6" s="13">
        <v>36.437359948730325</v>
      </c>
      <c r="M6" s="107">
        <v>15.0085075230317</v>
      </c>
      <c r="N6" s="12">
        <v>2.81566298877744</v>
      </c>
      <c r="O6" s="13">
        <v>48.125260381884679</v>
      </c>
      <c r="P6" s="57">
        <v>20.3339430688013</v>
      </c>
      <c r="Q6" s="57">
        <v>4.1384045172013098</v>
      </c>
      <c r="R6" s="13">
        <v>66.075338482207044</v>
      </c>
      <c r="S6" s="57">
        <f>HID_CEA_01!E129</f>
        <v>22.545254457087001</v>
      </c>
      <c r="T6" s="57">
        <f>HID_CEA_01!F129</f>
        <v>2.1788460822775302</v>
      </c>
      <c r="U6" s="13">
        <f t="shared" ref="U6:U9" si="1">(T6+S6)*C6</f>
        <v>66.755071456284242</v>
      </c>
      <c r="V6" s="57">
        <f>HID_CEA_01!E141</f>
        <v>24.404293933540199</v>
      </c>
      <c r="W6" s="57">
        <f>HID_CEA_01!F141</f>
        <v>3.2140433074887</v>
      </c>
      <c r="X6" s="13">
        <f>(W6+V6)*C6</f>
        <v>74.569510550778034</v>
      </c>
      <c r="Y6" s="12"/>
      <c r="Z6" s="96"/>
      <c r="AA6" s="96">
        <f t="shared" ref="AA6:AA7" si="2">X6-U6</f>
        <v>7.8144390944937925</v>
      </c>
      <c r="AB6" s="96">
        <f>AA6*(44/12)</f>
        <v>28.652943346477237</v>
      </c>
      <c r="AD6" s="125">
        <f t="shared" ref="AD6:AD7" si="3">AA6/$AC$8</f>
        <v>1.1775251562893755E-2</v>
      </c>
      <c r="AE6" s="2">
        <f>AD6*$AD$4</f>
        <v>71.401121891856349</v>
      </c>
      <c r="AF6" s="99">
        <f>$AE$4*AD6</f>
        <v>23.425423004849279</v>
      </c>
    </row>
    <row r="7" spans="1:32" x14ac:dyDescent="0.3">
      <c r="A7" s="7" t="s">
        <v>58</v>
      </c>
      <c r="B7" s="2" t="s">
        <v>193</v>
      </c>
      <c r="C7" s="11">
        <f>'CEA Attributes'!H5</f>
        <v>3.24</v>
      </c>
      <c r="D7" s="57">
        <f>LIS_CEA_01!E20</f>
        <v>0.29377931116845402</v>
      </c>
      <c r="E7" s="57">
        <f>LIS_CEA_01!F20</f>
        <v>3.3778267840071999E-2</v>
      </c>
      <c r="F7" s="12">
        <f t="shared" si="0"/>
        <v>1.0612865559876243</v>
      </c>
      <c r="G7" s="107">
        <f>'Abatement - Report 1'!G6</f>
        <v>3.6519413209689802</v>
      </c>
      <c r="H7" s="12">
        <f>'Abatement - Report 1'!H6</f>
        <v>0.64600860840964303</v>
      </c>
      <c r="I7" s="13">
        <f>'Abatement - Report 1'!I6</f>
        <v>13.925357771186739</v>
      </c>
      <c r="J7" s="57">
        <v>6.0646123413446897</v>
      </c>
      <c r="K7" s="57">
        <v>1.1987737889733701</v>
      </c>
      <c r="L7" s="13">
        <v>23.533371062230515</v>
      </c>
      <c r="M7" s="107">
        <v>7.8642870539988001</v>
      </c>
      <c r="N7" s="12">
        <v>1.6702547412923601</v>
      </c>
      <c r="O7" s="13">
        <v>30.891915416743359</v>
      </c>
      <c r="P7" s="57">
        <v>13.213962548440399</v>
      </c>
      <c r="Q7" s="57">
        <v>3.1108819478795899</v>
      </c>
      <c r="R7" s="13">
        <v>52.892496168076768</v>
      </c>
      <c r="S7" s="57">
        <f>LIS_CEA_01!E146</f>
        <v>16.470799756928599</v>
      </c>
      <c r="T7" s="57">
        <f>LIS_CEA_01!F146</f>
        <v>3.7039664103460201</v>
      </c>
      <c r="U7" s="13">
        <f t="shared" si="1"/>
        <v>65.366242381969769</v>
      </c>
      <c r="V7" s="57">
        <f>LIS_CEA_01!E158</f>
        <v>19.424543978654501</v>
      </c>
      <c r="W7" s="57">
        <f>LIS_CEA_01!F158</f>
        <v>4.2933919409542698</v>
      </c>
      <c r="X7" s="13">
        <f t="shared" ref="X7:X10" si="4">(W7+V7)*C7</f>
        <v>76.846112379532414</v>
      </c>
      <c r="Y7" s="12"/>
      <c r="Z7" s="96"/>
      <c r="AA7" s="96">
        <f t="shared" si="2"/>
        <v>11.479869997562645</v>
      </c>
      <c r="AB7" s="96">
        <f>AA7*(44/12)</f>
        <v>42.092856657729698</v>
      </c>
      <c r="AD7" s="125">
        <f t="shared" si="3"/>
        <v>1.7298536145206631E-2</v>
      </c>
      <c r="AE7" s="2">
        <f t="shared" ref="AE7" si="5">AD7*$AD$4</f>
        <v>104.89244168224364</v>
      </c>
      <c r="AF7" s="99">
        <f t="shared" ref="AF7" si="6">$AE$4*AD7</f>
        <v>34.413322246387445</v>
      </c>
    </row>
    <row r="8" spans="1:32" x14ac:dyDescent="0.3">
      <c r="A8" s="7" t="s">
        <v>53</v>
      </c>
      <c r="B8" s="2" t="s">
        <v>193</v>
      </c>
      <c r="C8" s="11">
        <f>'CEA Attributes'!C5</f>
        <v>13.77</v>
      </c>
      <c r="D8" s="57">
        <v>0</v>
      </c>
      <c r="E8" s="57">
        <v>0</v>
      </c>
      <c r="F8" s="12">
        <f t="shared" si="0"/>
        <v>0</v>
      </c>
      <c r="G8" s="107">
        <f>'Abatement - Report 1'!G7</f>
        <v>4.4925290194678702</v>
      </c>
      <c r="H8" s="12">
        <f>'Abatement - Report 1'!H7</f>
        <v>0.171312188465577</v>
      </c>
      <c r="I8" s="13">
        <f>'Abatement - Report 1'!I7</f>
        <v>64.221093433243567</v>
      </c>
      <c r="J8" s="57">
        <v>15.292900319298999</v>
      </c>
      <c r="K8" s="57">
        <v>1.87171380331843</v>
      </c>
      <c r="L8" s="13">
        <v>236.35673646844199</v>
      </c>
      <c r="M8" s="107">
        <v>23.2469995082702</v>
      </c>
      <c r="N8" s="12">
        <v>3.3669807256600901</v>
      </c>
      <c r="O8" s="13">
        <v>366.47450782122013</v>
      </c>
      <c r="P8" s="57">
        <v>34.431616564614899</v>
      </c>
      <c r="Q8" s="57">
        <v>6.2363016207602202</v>
      </c>
      <c r="R8" s="13">
        <v>559.9972334126154</v>
      </c>
      <c r="S8" s="57">
        <f>STE_CEA_01!E90</f>
        <v>38.837186238780703</v>
      </c>
      <c r="T8" s="57">
        <f>STE_CEA_01!F90</f>
        <v>7.4784789416641697</v>
      </c>
      <c r="U8" s="13">
        <f t="shared" si="1"/>
        <v>637.76670953472592</v>
      </c>
      <c r="V8" s="57">
        <f>STE_CEA_01!E102</f>
        <v>43.347082876030001</v>
      </c>
      <c r="W8" s="57">
        <f>STE_CEA_01!F102</f>
        <v>8.5966301594826504</v>
      </c>
      <c r="X8" s="13">
        <f t="shared" si="4"/>
        <v>715.26492849900922</v>
      </c>
      <c r="Y8" s="12"/>
      <c r="Z8" s="96"/>
      <c r="AA8" s="96">
        <f>SUM(X8:X10)-SUM(U8:U10)</f>
        <v>588.61990500741103</v>
      </c>
      <c r="AB8" s="96">
        <f t="shared" ref="AB8" si="7">AA8*(44/12)</f>
        <v>2158.2729850271735</v>
      </c>
      <c r="AC8" s="124">
        <f>SUM(X5:X10)-SUM(U5:U10)</f>
        <v>663.63245428392383</v>
      </c>
      <c r="AD8" s="125">
        <f>AA8/$AC$8</f>
        <v>0.88696672564416212</v>
      </c>
      <c r="AE8" s="2">
        <f>AD8*$AD$4</f>
        <v>5378.2646556194795</v>
      </c>
      <c r="AF8" s="99">
        <f>$AE$4*AD8</f>
        <v>1764.5118347123048</v>
      </c>
    </row>
    <row r="9" spans="1:32" x14ac:dyDescent="0.3">
      <c r="A9" s="7" t="s">
        <v>54</v>
      </c>
      <c r="B9" s="2" t="s">
        <v>193</v>
      </c>
      <c r="C9" s="11">
        <f>'CEA Attributes'!D5</f>
        <v>24.62</v>
      </c>
      <c r="D9" s="57">
        <v>0</v>
      </c>
      <c r="E9" s="57">
        <v>0</v>
      </c>
      <c r="F9" s="12">
        <f t="shared" si="0"/>
        <v>0</v>
      </c>
      <c r="G9" s="107">
        <f>'Abatement - Report 1'!G8</f>
        <v>4.5082506241216302</v>
      </c>
      <c r="H9" s="12">
        <f>'Abatement - Report 1'!H8</f>
        <v>0.17253132396936899</v>
      </c>
      <c r="I9" s="13">
        <f>'Abatement - Report 1'!I8</f>
        <v>115.2408515620004</v>
      </c>
      <c r="J9" s="57">
        <v>15.3374014504288</v>
      </c>
      <c r="K9" s="57">
        <v>1.87903751706196</v>
      </c>
      <c r="L9" s="13">
        <v>423.8687273796225</v>
      </c>
      <c r="M9" s="107">
        <v>23.310062851119699</v>
      </c>
      <c r="N9" s="12">
        <v>3.3806721298769902</v>
      </c>
      <c r="O9" s="13">
        <v>657.12589523213853</v>
      </c>
      <c r="P9" s="57">
        <v>34.520036794364202</v>
      </c>
      <c r="Q9" s="57">
        <v>6.2648942990542897</v>
      </c>
      <c r="R9" s="13">
        <v>1004.1250035199633</v>
      </c>
      <c r="S9" s="57">
        <f>STE_CEA_02!E90</f>
        <v>38.935505446527102</v>
      </c>
      <c r="T9" s="57">
        <f>STE_CEA_02!F90</f>
        <v>7.5147015605023801</v>
      </c>
      <c r="U9" s="13">
        <f t="shared" si="1"/>
        <v>1143.604096513066</v>
      </c>
      <c r="V9" s="57">
        <f>STE_CEA_02!E102</f>
        <v>43.455542670686199</v>
      </c>
      <c r="W9" s="57">
        <f>STE_CEA_02!F102</f>
        <v>8.6402690937145898</v>
      </c>
      <c r="X9" s="13">
        <f t="shared" si="4"/>
        <v>1282.5988856395475</v>
      </c>
      <c r="Y9" s="12"/>
      <c r="AA9" s="96"/>
      <c r="AB9" s="96"/>
      <c r="AF9" s="99">
        <f>SUM(AF5:AF8)</f>
        <v>1989.3777113575734</v>
      </c>
    </row>
    <row r="10" spans="1:32" x14ac:dyDescent="0.3">
      <c r="A10" s="7" t="s">
        <v>55</v>
      </c>
      <c r="B10" s="2" t="s">
        <v>193</v>
      </c>
      <c r="C10" s="11">
        <f>'CEA Attributes'!E5</f>
        <v>66.16</v>
      </c>
      <c r="D10" s="62">
        <v>0</v>
      </c>
      <c r="E10" s="62">
        <v>0</v>
      </c>
      <c r="F10" s="12">
        <f t="shared" si="0"/>
        <v>0</v>
      </c>
      <c r="G10" s="108">
        <f>'Abatement - Report 1'!G9</f>
        <v>4.4925866900188502</v>
      </c>
      <c r="H10" s="109">
        <f>'Abatement - Report 1'!H9</f>
        <v>0.17205495611221899</v>
      </c>
      <c r="I10" s="110">
        <f>'Abatement - Report 1'!I9</f>
        <v>308.61269130803151</v>
      </c>
      <c r="J10" s="57">
        <v>15.281489546836299</v>
      </c>
      <c r="K10" s="57">
        <v>1.8723688367635001</v>
      </c>
      <c r="L10" s="13">
        <v>1134.8992706589627</v>
      </c>
      <c r="M10" s="108">
        <v>23.224519498307099</v>
      </c>
      <c r="N10" s="109">
        <v>3.3684945335243501</v>
      </c>
      <c r="O10" s="110">
        <v>1759.3938083459686</v>
      </c>
      <c r="P10" s="57">
        <v>34.392830092644097</v>
      </c>
      <c r="Q10" s="57">
        <v>6.2420985183068796</v>
      </c>
      <c r="R10" s="13">
        <v>2688.4068769005166</v>
      </c>
      <c r="S10" s="57">
        <f>STE_CEA_03!E90</f>
        <v>38.791888072313398</v>
      </c>
      <c r="T10" s="57">
        <f>STE_CEA_03!F90</f>
        <v>7.4872963927408902</v>
      </c>
      <c r="U10" s="13">
        <f>(T10+S10)*C10</f>
        <v>3061.8308442079915</v>
      </c>
      <c r="V10" s="57">
        <f>STE_CEA_03!E102</f>
        <v>43.295125981068303</v>
      </c>
      <c r="W10" s="57">
        <f>STE_CEA_03!F102</f>
        <v>8.6087092838143793</v>
      </c>
      <c r="X10" s="13">
        <f t="shared" si="4"/>
        <v>3433.9577411246378</v>
      </c>
      <c r="Y10" s="12"/>
      <c r="AA10" s="96"/>
      <c r="AB10" s="96"/>
    </row>
    <row r="11" spans="1:32" x14ac:dyDescent="0.3">
      <c r="A11" s="52"/>
      <c r="B11" s="53"/>
      <c r="C11" s="54"/>
      <c r="D11" s="87"/>
      <c r="E11" s="87"/>
      <c r="F11" s="55"/>
      <c r="G11" s="55"/>
      <c r="H11" s="55"/>
      <c r="I11" s="55"/>
      <c r="J11" s="54"/>
      <c r="K11" s="54"/>
      <c r="L11" s="56"/>
      <c r="M11" s="55"/>
      <c r="N11" s="55"/>
      <c r="O11" s="55"/>
      <c r="P11" s="54"/>
      <c r="Q11" s="54"/>
      <c r="R11" s="56"/>
      <c r="S11" s="54"/>
      <c r="T11" s="54"/>
      <c r="U11" s="56"/>
      <c r="V11" s="54"/>
      <c r="W11" s="54"/>
      <c r="X11" s="56"/>
      <c r="Y11" s="131"/>
    </row>
    <row r="12" spans="1:32" x14ac:dyDescent="0.3">
      <c r="A12" s="4"/>
      <c r="B12" s="5"/>
      <c r="C12" s="45"/>
      <c r="D12" s="45"/>
      <c r="E12" s="45"/>
      <c r="F12" s="5"/>
      <c r="G12" s="5"/>
      <c r="H12" s="5"/>
      <c r="I12" s="5"/>
      <c r="J12" s="45"/>
      <c r="K12" s="45"/>
      <c r="L12" s="6"/>
      <c r="M12" s="5"/>
      <c r="N12" s="5"/>
      <c r="O12" s="5"/>
      <c r="P12" s="45"/>
      <c r="Q12" s="45"/>
      <c r="R12" s="6"/>
      <c r="S12" s="45"/>
      <c r="T12" s="45"/>
      <c r="U12" s="6"/>
      <c r="V12" s="45"/>
      <c r="W12" s="45"/>
      <c r="X12" s="6"/>
    </row>
    <row r="13" spans="1:32" ht="18" x14ac:dyDescent="0.35">
      <c r="A13" s="7"/>
      <c r="D13" s="113"/>
      <c r="E13" s="114" t="s">
        <v>195</v>
      </c>
      <c r="F13" s="115">
        <f>SUM(F5:F10)*44/12</f>
        <v>3.8913840386212892</v>
      </c>
      <c r="G13" s="4"/>
      <c r="H13" s="114" t="s">
        <v>196</v>
      </c>
      <c r="I13" s="58">
        <f>SUM(I5:I10)*44/12</f>
        <v>1979.5784703625425</v>
      </c>
      <c r="J13" s="4"/>
      <c r="K13" s="114" t="s">
        <v>197</v>
      </c>
      <c r="L13" s="58">
        <v>7462.1222526600222</v>
      </c>
      <c r="M13" s="37"/>
      <c r="N13" s="37" t="s">
        <v>197</v>
      </c>
      <c r="O13" s="37">
        <v>11808.354343206667</v>
      </c>
      <c r="P13" s="4"/>
      <c r="Q13" s="114" t="s">
        <v>196</v>
      </c>
      <c r="R13" s="58">
        <f>SUM(R5:R10)*44/12</f>
        <v>17886.023748113712</v>
      </c>
      <c r="S13" s="4"/>
      <c r="T13" s="114" t="s">
        <v>196</v>
      </c>
      <c r="U13" s="58">
        <f>SUM(U5:U10)*44/12</f>
        <v>20388.824063988719</v>
      </c>
      <c r="V13" s="4"/>
      <c r="W13" s="114" t="s">
        <v>196</v>
      </c>
      <c r="X13" s="58">
        <f>SUM(X5:X10)*44/12</f>
        <v>22822.143063029773</v>
      </c>
      <c r="Y13" s="57"/>
      <c r="AC13" s="96"/>
    </row>
    <row r="14" spans="1:32" x14ac:dyDescent="0.3">
      <c r="A14" s="7"/>
      <c r="D14" s="116"/>
      <c r="E14" s="117" t="s">
        <v>198</v>
      </c>
      <c r="F14" s="118"/>
      <c r="G14" s="116"/>
      <c r="H14" s="117" t="s">
        <v>199</v>
      </c>
      <c r="I14" s="118"/>
      <c r="J14" s="116"/>
      <c r="K14" s="117" t="s">
        <v>199</v>
      </c>
      <c r="L14" s="118"/>
      <c r="M14" s="10"/>
      <c r="N14" s="10" t="s">
        <v>199</v>
      </c>
      <c r="O14" s="10"/>
      <c r="P14" s="116"/>
      <c r="Q14" s="117" t="s">
        <v>199</v>
      </c>
      <c r="R14" s="118"/>
      <c r="S14" s="116"/>
      <c r="T14" s="117" t="s">
        <v>199</v>
      </c>
      <c r="U14" s="118"/>
      <c r="V14" s="116"/>
      <c r="W14" s="117" t="s">
        <v>199</v>
      </c>
      <c r="X14" s="118"/>
    </row>
    <row r="15" spans="1:32" x14ac:dyDescent="0.3">
      <c r="A15" s="7"/>
      <c r="Q15" s="40"/>
      <c r="R15" s="37"/>
      <c r="S15" s="37"/>
      <c r="T15" s="37"/>
      <c r="U15" s="58"/>
      <c r="V15" s="57"/>
      <c r="W15" s="57"/>
      <c r="X15" s="57"/>
      <c r="Y15" s="57"/>
    </row>
    <row r="16" spans="1:32" x14ac:dyDescent="0.3">
      <c r="A16" s="7"/>
      <c r="E16" s="40" t="s">
        <v>200</v>
      </c>
      <c r="R16" s="57"/>
      <c r="S16" s="57"/>
      <c r="T16" s="57"/>
      <c r="V16" s="57"/>
      <c r="W16" s="57"/>
      <c r="X16" s="38">
        <f>X13-F13</f>
        <v>22818.25167899115</v>
      </c>
      <c r="Y16" s="57"/>
    </row>
    <row r="17" spans="1:25" x14ac:dyDescent="0.3">
      <c r="A17" s="9"/>
      <c r="B17" s="10"/>
      <c r="C17" s="41"/>
      <c r="D17" s="41"/>
      <c r="E17" s="4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41"/>
      <c r="Q17" s="41"/>
      <c r="R17" s="62"/>
      <c r="S17" s="62"/>
      <c r="T17" s="62"/>
      <c r="U17" s="39"/>
      <c r="V17" s="57"/>
      <c r="W17" s="57"/>
      <c r="X17" s="57"/>
      <c r="Y17" s="57"/>
    </row>
    <row r="21" spans="1:25" x14ac:dyDescent="0.3">
      <c r="V21" s="96"/>
      <c r="W21" s="96"/>
      <c r="X21" s="96">
        <f>X13-U13</f>
        <v>2433.3189990410538</v>
      </c>
      <c r="Y21" s="9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96EA-85E9-4D4B-99E5-F11CA0C33A8F}">
  <sheetPr>
    <tabColor rgb="FF00B0F0"/>
    <pageSetUpPr fitToPage="1"/>
  </sheetPr>
  <dimension ref="A2:AB21"/>
  <sheetViews>
    <sheetView zoomScale="85" zoomScaleNormal="85" workbookViewId="0">
      <selection activeCell="X25" sqref="X25"/>
    </sheetView>
  </sheetViews>
  <sheetFormatPr defaultColWidth="9" defaultRowHeight="16.5" x14ac:dyDescent="0.3"/>
  <cols>
    <col min="1" max="1" width="13.28515625" style="2" customWidth="1"/>
    <col min="2" max="2" width="50.85546875" style="2" customWidth="1"/>
    <col min="3" max="3" width="8.42578125" style="11" bestFit="1" customWidth="1"/>
    <col min="4" max="4" width="12.42578125" style="11" bestFit="1" customWidth="1"/>
    <col min="5" max="5" width="11.85546875" style="11" bestFit="1" customWidth="1"/>
    <col min="6" max="6" width="11.85546875" style="2" bestFit="1" customWidth="1"/>
    <col min="7" max="15" width="11.85546875" style="2" customWidth="1"/>
    <col min="16" max="16" width="11.5703125" style="11" customWidth="1"/>
    <col min="17" max="17" width="11.85546875" style="11" bestFit="1" customWidth="1"/>
    <col min="18" max="18" width="11.85546875" style="2" bestFit="1" customWidth="1"/>
    <col min="19" max="21" width="11.85546875" style="2" customWidth="1"/>
    <col min="22" max="22" width="7.7109375" style="2" customWidth="1"/>
    <col min="23" max="23" width="9.42578125" style="2" bestFit="1" customWidth="1"/>
    <col min="24" max="24" width="9.42578125" style="2" customWidth="1"/>
    <col min="25" max="25" width="16.5703125" style="2" bestFit="1" customWidth="1"/>
    <col min="26" max="27" width="9" style="2"/>
    <col min="28" max="28" width="9.42578125" style="2" bestFit="1" customWidth="1"/>
    <col min="29" max="16384" width="9" style="2"/>
  </cols>
  <sheetData>
    <row r="2" spans="1:28" x14ac:dyDescent="0.3">
      <c r="A2" s="64" t="s">
        <v>170</v>
      </c>
    </row>
    <row r="3" spans="1:28" x14ac:dyDescent="0.3">
      <c r="A3" s="4"/>
      <c r="B3" s="5"/>
      <c r="C3" s="45"/>
      <c r="D3" s="5"/>
      <c r="E3" s="5"/>
      <c r="F3" s="5" t="s">
        <v>171</v>
      </c>
      <c r="G3" s="119" t="s">
        <v>172</v>
      </c>
      <c r="H3" s="5"/>
      <c r="I3" s="6" t="s">
        <v>173</v>
      </c>
      <c r="J3" s="120" t="s">
        <v>174</v>
      </c>
      <c r="K3" s="5"/>
      <c r="L3" s="6" t="s">
        <v>173</v>
      </c>
      <c r="M3" s="120" t="s">
        <v>175</v>
      </c>
      <c r="N3" s="5"/>
      <c r="O3" s="6" t="s">
        <v>173</v>
      </c>
      <c r="P3" s="120" t="s">
        <v>176</v>
      </c>
      <c r="Q3" s="5"/>
      <c r="R3" s="6" t="s">
        <v>173</v>
      </c>
      <c r="S3" s="120" t="s">
        <v>177</v>
      </c>
      <c r="T3" s="5"/>
      <c r="U3" s="6" t="s">
        <v>173</v>
      </c>
      <c r="Z3" s="2" t="s">
        <v>181</v>
      </c>
      <c r="AA3" s="2" t="s">
        <v>182</v>
      </c>
    </row>
    <row r="4" spans="1:28" s="16" customFormat="1" ht="67.5" x14ac:dyDescent="0.3">
      <c r="A4" s="36" t="s">
        <v>183</v>
      </c>
      <c r="B4" s="16" t="s">
        <v>184</v>
      </c>
      <c r="C4" s="43" t="s">
        <v>185</v>
      </c>
      <c r="D4" s="43" t="s">
        <v>186</v>
      </c>
      <c r="E4" s="43" t="s">
        <v>187</v>
      </c>
      <c r="F4" s="46" t="s">
        <v>188</v>
      </c>
      <c r="G4" s="111" t="s">
        <v>189</v>
      </c>
      <c r="H4" s="46" t="s">
        <v>190</v>
      </c>
      <c r="I4" s="47" t="s">
        <v>191</v>
      </c>
      <c r="J4" s="43" t="s">
        <v>189</v>
      </c>
      <c r="K4" s="43" t="s">
        <v>190</v>
      </c>
      <c r="L4" s="47" t="s">
        <v>191</v>
      </c>
      <c r="M4" s="111" t="s">
        <v>189</v>
      </c>
      <c r="N4" s="46" t="s">
        <v>190</v>
      </c>
      <c r="O4" s="47" t="s">
        <v>191</v>
      </c>
      <c r="P4" s="43" t="s">
        <v>189</v>
      </c>
      <c r="Q4" s="43" t="s">
        <v>190</v>
      </c>
      <c r="R4" s="47" t="s">
        <v>191</v>
      </c>
      <c r="S4" s="43" t="s">
        <v>189</v>
      </c>
      <c r="T4" s="43" t="s">
        <v>190</v>
      </c>
      <c r="U4" s="47" t="s">
        <v>191</v>
      </c>
      <c r="W4" s="2" t="s">
        <v>47</v>
      </c>
      <c r="X4" s="2"/>
      <c r="Y4" s="2"/>
      <c r="Z4" s="16">
        <v>6063.66</v>
      </c>
      <c r="AA4" s="100">
        <f>'Net Abatement'!C11</f>
        <v>1989.3777113575743</v>
      </c>
      <c r="AB4" s="16" t="s">
        <v>192</v>
      </c>
    </row>
    <row r="5" spans="1:28" x14ac:dyDescent="0.3">
      <c r="A5" s="4" t="s">
        <v>56</v>
      </c>
      <c r="B5" s="5" t="s">
        <v>193</v>
      </c>
      <c r="C5" s="45">
        <f>'CEA Attributes'!F5</f>
        <v>8.76</v>
      </c>
      <c r="D5" s="37">
        <v>0</v>
      </c>
      <c r="E5" s="37">
        <v>0</v>
      </c>
      <c r="F5" s="12">
        <f t="shared" ref="F5:F10" si="0">(D5+E5)*C5</f>
        <v>0</v>
      </c>
      <c r="G5" s="107">
        <f>'Abatement - Report 1'!G4</f>
        <v>1.2359209471864601</v>
      </c>
      <c r="H5" s="12">
        <f>'Abatement - Report 1'!H4</f>
        <v>7.1879623380373001E-2</v>
      </c>
      <c r="I5" s="13">
        <f>'Abatement - Report 1'!I4</f>
        <v>11.456332998165456</v>
      </c>
      <c r="J5" s="37">
        <v>18.665415608397101</v>
      </c>
      <c r="K5" s="37">
        <v>1.88581557967057</v>
      </c>
      <c r="L5" s="13">
        <v>180.02878520747279</v>
      </c>
      <c r="M5" s="121">
        <v>36.533445444094802</v>
      </c>
      <c r="N5" s="123">
        <v>4.38537741230307</v>
      </c>
      <c r="O5" s="122">
        <v>358.44888822204535</v>
      </c>
      <c r="P5" s="37">
        <v>49.3035565994671</v>
      </c>
      <c r="Q5" s="37">
        <v>8.5171658063440407</v>
      </c>
      <c r="R5" s="13">
        <v>506.50952827490602</v>
      </c>
      <c r="S5" s="37">
        <f>JIN_CEA_01!E91</f>
        <v>56.138794009243099</v>
      </c>
      <c r="T5" s="37">
        <f>JIN_CEA_01!F91</f>
        <v>10.672326652149</v>
      </c>
      <c r="U5" s="13">
        <f>(T5+S5)*C5</f>
        <v>585.2654169937947</v>
      </c>
      <c r="W5" s="96">
        <f>U5-R5</f>
        <v>78.755888718888684</v>
      </c>
      <c r="X5" s="96">
        <f>W5*(44/12)</f>
        <v>288.77159196925851</v>
      </c>
      <c r="Z5" s="125">
        <f>W5/$Y$8</f>
        <v>0.11537939728455761</v>
      </c>
      <c r="AA5" s="2">
        <f>Z5*$Z$4</f>
        <v>699.62143613848059</v>
      </c>
      <c r="AB5" s="99">
        <f>$AA$4*Z5</f>
        <v>229.53320130776953</v>
      </c>
    </row>
    <row r="6" spans="1:28" x14ac:dyDescent="0.3">
      <c r="A6" s="7" t="s">
        <v>194</v>
      </c>
      <c r="B6" s="2" t="s">
        <v>193</v>
      </c>
      <c r="C6" s="11">
        <f>'CEA Attributes'!G5</f>
        <v>2.7</v>
      </c>
      <c r="D6" s="57">
        <v>0</v>
      </c>
      <c r="E6" s="57">
        <v>0</v>
      </c>
      <c r="F6" s="12">
        <f t="shared" si="0"/>
        <v>0</v>
      </c>
      <c r="G6" s="107">
        <f>'Abatement - Report 1'!G5</f>
        <v>8.6244365766503908</v>
      </c>
      <c r="H6" s="12">
        <f>'Abatement - Report 1'!H5</f>
        <v>1.16397464519216</v>
      </c>
      <c r="I6" s="13">
        <f>'Abatement - Report 1'!I5</f>
        <v>26.428710298974892</v>
      </c>
      <c r="J6" s="57">
        <v>11.3926510530081</v>
      </c>
      <c r="K6" s="57">
        <v>2.1026674465216502</v>
      </c>
      <c r="L6" s="13">
        <v>36.437359948730325</v>
      </c>
      <c r="M6" s="107">
        <v>15.0085075230317</v>
      </c>
      <c r="N6" s="12">
        <v>2.81566298877744</v>
      </c>
      <c r="O6" s="13">
        <v>48.125260381884679</v>
      </c>
      <c r="P6" s="57">
        <v>20.3339430688013</v>
      </c>
      <c r="Q6" s="57">
        <v>4.1384045172013098</v>
      </c>
      <c r="R6" s="13">
        <v>66.075338482207044</v>
      </c>
      <c r="S6" s="57">
        <f>HID_CEA_01!E129</f>
        <v>22.545254457087001</v>
      </c>
      <c r="T6" s="57">
        <f>HID_CEA_01!F129</f>
        <v>2.1788460822775302</v>
      </c>
      <c r="U6" s="13">
        <f t="shared" ref="U6:U9" si="1">(T6+S6)*C6</f>
        <v>66.755071456284242</v>
      </c>
      <c r="V6" s="96"/>
      <c r="W6" s="96">
        <f>U6-R6</f>
        <v>0.67973297407719713</v>
      </c>
      <c r="X6" s="96">
        <f>W6*(44/12)</f>
        <v>2.4923542382830561</v>
      </c>
      <c r="Z6" s="125">
        <f t="shared" ref="Z6:Z7" si="2">W6/$Y$8</f>
        <v>9.9582624409718561E-4</v>
      </c>
      <c r="AA6" s="2">
        <f>Z6*$Z$4</f>
        <v>6.03835176328234</v>
      </c>
      <c r="AB6" s="99">
        <f>$AA$4*Z6</f>
        <v>1.9810745343918683</v>
      </c>
    </row>
    <row r="7" spans="1:28" x14ac:dyDescent="0.3">
      <c r="A7" s="7" t="s">
        <v>58</v>
      </c>
      <c r="B7" s="2" t="s">
        <v>193</v>
      </c>
      <c r="C7" s="11">
        <f>'CEA Attributes'!H5</f>
        <v>3.24</v>
      </c>
      <c r="D7" s="57">
        <f>LIS_CEA_01!E20</f>
        <v>0.29377931116845402</v>
      </c>
      <c r="E7" s="57">
        <f>LIS_CEA_01!F20</f>
        <v>3.3778267840071999E-2</v>
      </c>
      <c r="F7" s="12">
        <f t="shared" si="0"/>
        <v>1.0612865559876243</v>
      </c>
      <c r="G7" s="107">
        <f>'Abatement - Report 1'!G6</f>
        <v>3.6519413209689802</v>
      </c>
      <c r="H7" s="12">
        <f>'Abatement - Report 1'!H6</f>
        <v>0.64600860840964303</v>
      </c>
      <c r="I7" s="13">
        <f>'Abatement - Report 1'!I6</f>
        <v>13.925357771186739</v>
      </c>
      <c r="J7" s="57">
        <v>6.0646123413446897</v>
      </c>
      <c r="K7" s="57">
        <v>1.1987737889733701</v>
      </c>
      <c r="L7" s="13">
        <v>23.533371062230515</v>
      </c>
      <c r="M7" s="107">
        <v>7.8642870539988001</v>
      </c>
      <c r="N7" s="12">
        <v>1.6702547412923601</v>
      </c>
      <c r="O7" s="13">
        <v>30.891915416743359</v>
      </c>
      <c r="P7" s="57">
        <v>13.213962548440399</v>
      </c>
      <c r="Q7" s="57">
        <v>3.1108819478795899</v>
      </c>
      <c r="R7" s="13">
        <v>52.892496168076768</v>
      </c>
      <c r="S7" s="57">
        <f>LIS_CEA_01!E146</f>
        <v>16.470799756928599</v>
      </c>
      <c r="T7" s="57">
        <f>LIS_CEA_01!F146</f>
        <v>3.7039664103460201</v>
      </c>
      <c r="U7" s="13">
        <f t="shared" si="1"/>
        <v>65.366242381969769</v>
      </c>
      <c r="V7" s="96"/>
      <c r="W7" s="96">
        <f>U7-R7</f>
        <v>12.473746213893001</v>
      </c>
      <c r="X7" s="96">
        <f t="shared" ref="X7:X8" si="3">W7*(44/12)</f>
        <v>45.737069450941</v>
      </c>
      <c r="Z7" s="125">
        <f t="shared" si="2"/>
        <v>1.8274358190238139E-2</v>
      </c>
      <c r="AA7" s="2">
        <f t="shared" ref="AA7" si="4">Z7*$Z$4</f>
        <v>110.80949478381939</v>
      </c>
      <c r="AB7" s="99">
        <f t="shared" ref="AB7" si="5">$AA$4*Z7</f>
        <v>36.354600873024495</v>
      </c>
    </row>
    <row r="8" spans="1:28" x14ac:dyDescent="0.3">
      <c r="A8" s="7" t="s">
        <v>53</v>
      </c>
      <c r="B8" s="2" t="s">
        <v>193</v>
      </c>
      <c r="C8" s="11">
        <f>'CEA Attributes'!C5</f>
        <v>13.77</v>
      </c>
      <c r="D8" s="57">
        <v>0</v>
      </c>
      <c r="E8" s="57">
        <v>0</v>
      </c>
      <c r="F8" s="12">
        <f t="shared" si="0"/>
        <v>0</v>
      </c>
      <c r="G8" s="107">
        <f>'Abatement - Report 1'!G7</f>
        <v>4.4925290194678702</v>
      </c>
      <c r="H8" s="12">
        <f>'Abatement - Report 1'!H7</f>
        <v>0.171312188465577</v>
      </c>
      <c r="I8" s="13">
        <f>'Abatement - Report 1'!I7</f>
        <v>64.221093433243567</v>
      </c>
      <c r="J8" s="57">
        <v>15.292900319298999</v>
      </c>
      <c r="K8" s="57">
        <v>1.87171380331843</v>
      </c>
      <c r="L8" s="13">
        <v>236.35673646844199</v>
      </c>
      <c r="M8" s="107">
        <v>23.2469995082702</v>
      </c>
      <c r="N8" s="12">
        <v>3.3669807256600901</v>
      </c>
      <c r="O8" s="13">
        <v>366.47450782122013</v>
      </c>
      <c r="P8" s="57">
        <v>34.431616564614899</v>
      </c>
      <c r="Q8" s="57">
        <v>6.2363016207602202</v>
      </c>
      <c r="R8" s="13">
        <v>559.9972334126154</v>
      </c>
      <c r="S8" s="57">
        <f>STE_CEA_01!E90</f>
        <v>38.837186238780703</v>
      </c>
      <c r="T8" s="57">
        <f>STE_CEA_01!F90</f>
        <v>7.4784789416641697</v>
      </c>
      <c r="U8" s="13">
        <f t="shared" si="1"/>
        <v>637.76670953472592</v>
      </c>
      <c r="V8" s="96"/>
      <c r="W8" s="96">
        <f>SUM(U8:U10)-SUM(R8:R10)</f>
        <v>590.6725364226877</v>
      </c>
      <c r="X8" s="96">
        <f t="shared" si="3"/>
        <v>2165.7993002165213</v>
      </c>
      <c r="Y8" s="124">
        <f>SUM(U5:U10)-SUM(R5:R10)</f>
        <v>682.58190432954689</v>
      </c>
      <c r="Z8" s="125">
        <f>W8/$Y$8</f>
        <v>0.86535041828110659</v>
      </c>
      <c r="AA8" s="2">
        <f>Z8*$Z$4</f>
        <v>5247.1907173144145</v>
      </c>
      <c r="AB8" s="99">
        <f>$AA$4*Z8</f>
        <v>1721.5088346423875</v>
      </c>
    </row>
    <row r="9" spans="1:28" x14ac:dyDescent="0.3">
      <c r="A9" s="7" t="s">
        <v>54</v>
      </c>
      <c r="B9" s="2" t="s">
        <v>193</v>
      </c>
      <c r="C9" s="11">
        <f>'CEA Attributes'!D5</f>
        <v>24.62</v>
      </c>
      <c r="D9" s="57">
        <v>0</v>
      </c>
      <c r="E9" s="57">
        <v>0</v>
      </c>
      <c r="F9" s="12">
        <f t="shared" si="0"/>
        <v>0</v>
      </c>
      <c r="G9" s="107">
        <f>'Abatement - Report 1'!G8</f>
        <v>4.5082506241216302</v>
      </c>
      <c r="H9" s="12">
        <f>'Abatement - Report 1'!H8</f>
        <v>0.17253132396936899</v>
      </c>
      <c r="I9" s="13">
        <f>'Abatement - Report 1'!I8</f>
        <v>115.2408515620004</v>
      </c>
      <c r="J9" s="57">
        <v>15.3374014504288</v>
      </c>
      <c r="K9" s="57">
        <v>1.87903751706196</v>
      </c>
      <c r="L9" s="13">
        <v>423.8687273796225</v>
      </c>
      <c r="M9" s="107">
        <v>23.310062851119699</v>
      </c>
      <c r="N9" s="12">
        <v>3.3806721298769902</v>
      </c>
      <c r="O9" s="13">
        <v>657.12589523213853</v>
      </c>
      <c r="P9" s="57">
        <v>34.520036794364202</v>
      </c>
      <c r="Q9" s="57">
        <v>6.2648942990542897</v>
      </c>
      <c r="R9" s="13">
        <v>1004.1250035199633</v>
      </c>
      <c r="S9" s="57">
        <f>STE_CEA_02!E90</f>
        <v>38.935505446527102</v>
      </c>
      <c r="T9" s="57">
        <f>STE_CEA_02!F90</f>
        <v>7.5147015605023801</v>
      </c>
      <c r="U9" s="13">
        <f t="shared" si="1"/>
        <v>1143.604096513066</v>
      </c>
      <c r="W9" s="96"/>
      <c r="X9" s="96"/>
      <c r="AB9" s="99">
        <f>SUM(AB5:AB8)</f>
        <v>1989.3777113575734</v>
      </c>
    </row>
    <row r="10" spans="1:28" x14ac:dyDescent="0.3">
      <c r="A10" s="7" t="s">
        <v>55</v>
      </c>
      <c r="B10" s="2" t="s">
        <v>193</v>
      </c>
      <c r="C10" s="11">
        <f>'CEA Attributes'!E5</f>
        <v>66.16</v>
      </c>
      <c r="D10" s="62">
        <v>0</v>
      </c>
      <c r="E10" s="62">
        <v>0</v>
      </c>
      <c r="F10" s="12">
        <f t="shared" si="0"/>
        <v>0</v>
      </c>
      <c r="G10" s="108">
        <f>'Abatement - Report 1'!G9</f>
        <v>4.4925866900188502</v>
      </c>
      <c r="H10" s="109">
        <f>'Abatement - Report 1'!H9</f>
        <v>0.17205495611221899</v>
      </c>
      <c r="I10" s="110">
        <f>'Abatement - Report 1'!I9</f>
        <v>308.61269130803151</v>
      </c>
      <c r="J10" s="57">
        <v>15.281489546836299</v>
      </c>
      <c r="K10" s="57">
        <v>1.8723688367635001</v>
      </c>
      <c r="L10" s="13">
        <v>1134.8992706589627</v>
      </c>
      <c r="M10" s="108">
        <v>23.224519498307099</v>
      </c>
      <c r="N10" s="109">
        <v>3.3684945335243501</v>
      </c>
      <c r="O10" s="110">
        <v>1759.3938083459686</v>
      </c>
      <c r="P10" s="57">
        <v>34.392830092644097</v>
      </c>
      <c r="Q10" s="57">
        <v>6.2420985183068796</v>
      </c>
      <c r="R10" s="13">
        <v>2688.4068769005166</v>
      </c>
      <c r="S10" s="57">
        <f>STE_CEA_03!E90</f>
        <v>38.791888072313398</v>
      </c>
      <c r="T10" s="57">
        <f>STE_CEA_03!F90</f>
        <v>7.4872963927408902</v>
      </c>
      <c r="U10" s="13">
        <f>(T10+S10)*C10</f>
        <v>3061.8308442079915</v>
      </c>
      <c r="W10" s="96"/>
      <c r="X10" s="96"/>
    </row>
    <row r="11" spans="1:28" x14ac:dyDescent="0.3">
      <c r="A11" s="52"/>
      <c r="B11" s="53"/>
      <c r="C11" s="54"/>
      <c r="D11" s="87"/>
      <c r="E11" s="87"/>
      <c r="F11" s="55"/>
      <c r="G11" s="55"/>
      <c r="H11" s="55"/>
      <c r="I11" s="55"/>
      <c r="J11" s="54"/>
      <c r="K11" s="54"/>
      <c r="L11" s="56"/>
      <c r="M11" s="55"/>
      <c r="N11" s="55"/>
      <c r="O11" s="55"/>
      <c r="P11" s="54"/>
      <c r="Q11" s="54"/>
      <c r="R11" s="56"/>
      <c r="S11" s="54"/>
      <c r="T11" s="54"/>
      <c r="U11" s="56"/>
    </row>
    <row r="12" spans="1:28" x14ac:dyDescent="0.3">
      <c r="A12" s="4"/>
      <c r="B12" s="5"/>
      <c r="C12" s="45"/>
      <c r="D12" s="45"/>
      <c r="E12" s="45"/>
      <c r="F12" s="5"/>
      <c r="G12" s="5"/>
      <c r="H12" s="5"/>
      <c r="I12" s="5"/>
      <c r="J12" s="45"/>
      <c r="K12" s="45"/>
      <c r="L12" s="6"/>
      <c r="M12" s="5"/>
      <c r="N12" s="5"/>
      <c r="O12" s="5"/>
      <c r="P12" s="45"/>
      <c r="Q12" s="45"/>
      <c r="R12" s="6"/>
      <c r="S12" s="45"/>
      <c r="T12" s="45"/>
      <c r="U12" s="6"/>
    </row>
    <row r="13" spans="1:28" ht="18" x14ac:dyDescent="0.35">
      <c r="A13" s="7"/>
      <c r="D13" s="113"/>
      <c r="E13" s="114" t="s">
        <v>195</v>
      </c>
      <c r="F13" s="115">
        <f>SUM(F5:F10)*44/12</f>
        <v>3.8913840386212892</v>
      </c>
      <c r="G13" s="4"/>
      <c r="H13" s="114" t="s">
        <v>196</v>
      </c>
      <c r="I13" s="58">
        <f>SUM(I5:I10)*44/12</f>
        <v>1979.5784703625425</v>
      </c>
      <c r="J13" s="4"/>
      <c r="K13" s="114" t="s">
        <v>197</v>
      </c>
      <c r="L13" s="58">
        <v>7462.1222526600222</v>
      </c>
      <c r="M13" s="37"/>
      <c r="N13" s="37" t="s">
        <v>197</v>
      </c>
      <c r="O13" s="37">
        <v>11808.354343206667</v>
      </c>
      <c r="P13" s="4"/>
      <c r="Q13" s="114" t="s">
        <v>196</v>
      </c>
      <c r="R13" s="58">
        <f>SUM(R5:R10)*44/12</f>
        <v>17886.023748113712</v>
      </c>
      <c r="S13" s="4"/>
      <c r="T13" s="114" t="s">
        <v>196</v>
      </c>
      <c r="U13" s="58">
        <f>SUM(U5:U10)*44/12</f>
        <v>20388.824063988719</v>
      </c>
      <c r="Y13" s="96"/>
    </row>
    <row r="14" spans="1:28" x14ac:dyDescent="0.3">
      <c r="A14" s="7"/>
      <c r="D14" s="116"/>
      <c r="E14" s="117" t="s">
        <v>198</v>
      </c>
      <c r="F14" s="118"/>
      <c r="G14" s="116"/>
      <c r="H14" s="117" t="s">
        <v>199</v>
      </c>
      <c r="I14" s="118"/>
      <c r="J14" s="116"/>
      <c r="K14" s="117" t="s">
        <v>199</v>
      </c>
      <c r="L14" s="118"/>
      <c r="M14" s="10"/>
      <c r="N14" s="10" t="s">
        <v>199</v>
      </c>
      <c r="O14" s="10"/>
      <c r="P14" s="116"/>
      <c r="Q14" s="117" t="s">
        <v>199</v>
      </c>
      <c r="R14" s="118"/>
      <c r="S14" s="116"/>
      <c r="T14" s="117" t="s">
        <v>199</v>
      </c>
      <c r="U14" s="118"/>
    </row>
    <row r="15" spans="1:28" x14ac:dyDescent="0.3">
      <c r="A15" s="7"/>
      <c r="Q15" s="40"/>
      <c r="R15" s="37"/>
      <c r="S15" s="37"/>
      <c r="T15" s="37"/>
      <c r="U15" s="58"/>
    </row>
    <row r="16" spans="1:28" x14ac:dyDescent="0.3">
      <c r="A16" s="7"/>
      <c r="E16" s="40" t="s">
        <v>200</v>
      </c>
      <c r="R16" s="57"/>
      <c r="S16" s="57"/>
      <c r="T16" s="57"/>
      <c r="U16" s="38">
        <f>U13-F13</f>
        <v>20384.932679950096</v>
      </c>
    </row>
    <row r="17" spans="1:21" x14ac:dyDescent="0.3">
      <c r="A17" s="9"/>
      <c r="B17" s="10"/>
      <c r="C17" s="41"/>
      <c r="D17" s="41"/>
      <c r="E17" s="4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41"/>
      <c r="Q17" s="41"/>
      <c r="R17" s="62"/>
      <c r="S17" s="62"/>
      <c r="T17" s="62"/>
      <c r="U17" s="39"/>
    </row>
    <row r="21" spans="1:21" x14ac:dyDescent="0.3">
      <c r="U21" s="96">
        <f>U13-R13</f>
        <v>2502.8003158750071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FEA3-6456-4CFC-8EA5-8766EFD49E67}">
  <sheetPr>
    <tabColor rgb="FF00B0F0"/>
    <pageSetUpPr fitToPage="1"/>
  </sheetPr>
  <dimension ref="A2:Y17"/>
  <sheetViews>
    <sheetView tabSelected="1" zoomScale="85" zoomScaleNormal="85" workbookViewId="0">
      <selection activeCell="W10" sqref="W10"/>
    </sheetView>
  </sheetViews>
  <sheetFormatPr defaultColWidth="9" defaultRowHeight="16.5" x14ac:dyDescent="0.3"/>
  <cols>
    <col min="1" max="1" width="13.28515625" style="2" customWidth="1"/>
    <col min="2" max="2" width="28.42578125" style="2" customWidth="1"/>
    <col min="3" max="3" width="8.42578125" style="11" bestFit="1" customWidth="1"/>
    <col min="4" max="4" width="12.42578125" style="11" bestFit="1" customWidth="1"/>
    <col min="5" max="5" width="11.85546875" style="11" bestFit="1" customWidth="1"/>
    <col min="6" max="6" width="11.85546875" style="2" bestFit="1" customWidth="1"/>
    <col min="7" max="15" width="11.85546875" style="2" customWidth="1"/>
    <col min="16" max="16" width="11.5703125" style="11" customWidth="1"/>
    <col min="17" max="17" width="11.85546875" style="11" bestFit="1" customWidth="1"/>
    <col min="18" max="18" width="11.85546875" style="2" bestFit="1" customWidth="1"/>
    <col min="19" max="19" width="7.7109375" style="2" customWidth="1"/>
    <col min="20" max="20" width="9.42578125" style="2" bestFit="1" customWidth="1"/>
    <col min="21" max="21" width="9.42578125" style="2" customWidth="1"/>
    <col min="22" max="22" width="16.5703125" style="2" bestFit="1" customWidth="1"/>
    <col min="23" max="16384" width="9" style="2"/>
  </cols>
  <sheetData>
    <row r="2" spans="1:25" x14ac:dyDescent="0.3">
      <c r="A2" s="64" t="s">
        <v>170</v>
      </c>
    </row>
    <row r="3" spans="1:25" x14ac:dyDescent="0.3">
      <c r="A3" s="4"/>
      <c r="B3" s="5"/>
      <c r="C3" s="45"/>
      <c r="D3" s="5"/>
      <c r="E3" s="5"/>
      <c r="F3" s="5" t="s">
        <v>171</v>
      </c>
      <c r="G3" s="119" t="s">
        <v>172</v>
      </c>
      <c r="H3" s="5"/>
      <c r="I3" s="6" t="s">
        <v>173</v>
      </c>
      <c r="J3" s="120" t="s">
        <v>174</v>
      </c>
      <c r="K3" s="5"/>
      <c r="L3" s="6" t="s">
        <v>173</v>
      </c>
      <c r="M3" s="120" t="s">
        <v>175</v>
      </c>
      <c r="N3" s="5"/>
      <c r="O3" s="6" t="s">
        <v>173</v>
      </c>
      <c r="P3" s="120" t="s">
        <v>176</v>
      </c>
      <c r="Q3" s="5"/>
      <c r="R3" s="6" t="s">
        <v>173</v>
      </c>
    </row>
    <row r="4" spans="1:25" s="16" customFormat="1" ht="60.6" customHeight="1" x14ac:dyDescent="0.3">
      <c r="A4" s="36" t="s">
        <v>183</v>
      </c>
      <c r="B4" s="16" t="s">
        <v>184</v>
      </c>
      <c r="C4" s="43" t="s">
        <v>185</v>
      </c>
      <c r="D4" s="43" t="s">
        <v>186</v>
      </c>
      <c r="E4" s="43" t="s">
        <v>187</v>
      </c>
      <c r="F4" s="46" t="s">
        <v>188</v>
      </c>
      <c r="G4" s="111" t="s">
        <v>189</v>
      </c>
      <c r="H4" s="46" t="s">
        <v>190</v>
      </c>
      <c r="I4" s="47" t="s">
        <v>191</v>
      </c>
      <c r="J4" s="43" t="s">
        <v>189</v>
      </c>
      <c r="K4" s="43" t="s">
        <v>190</v>
      </c>
      <c r="L4" s="47" t="s">
        <v>191</v>
      </c>
      <c r="M4" s="111" t="s">
        <v>189</v>
      </c>
      <c r="N4" s="46" t="s">
        <v>190</v>
      </c>
      <c r="O4" s="47" t="s">
        <v>191</v>
      </c>
      <c r="P4" s="43" t="s">
        <v>189</v>
      </c>
      <c r="Q4" s="43" t="s">
        <v>190</v>
      </c>
      <c r="R4" s="47" t="s">
        <v>191</v>
      </c>
      <c r="T4" s="2"/>
      <c r="U4" s="2"/>
      <c r="V4" s="2"/>
      <c r="W4" s="16">
        <v>6063.66</v>
      </c>
      <c r="X4" s="16">
        <v>4547</v>
      </c>
    </row>
    <row r="5" spans="1:25" x14ac:dyDescent="0.3">
      <c r="A5" s="4" t="s">
        <v>56</v>
      </c>
      <c r="B5" s="5" t="s">
        <v>193</v>
      </c>
      <c r="C5" s="45">
        <f>'CEA Attributes'!F5</f>
        <v>8.76</v>
      </c>
      <c r="D5" s="37">
        <v>0</v>
      </c>
      <c r="E5" s="37">
        <v>0</v>
      </c>
      <c r="F5" s="12">
        <f t="shared" ref="F5:F10" si="0">(D5+E5)*C5</f>
        <v>0</v>
      </c>
      <c r="G5" s="107">
        <f>'Abatement - Report 1'!G4</f>
        <v>1.2359209471864601</v>
      </c>
      <c r="H5" s="12">
        <f>'Abatement - Report 1'!H4</f>
        <v>7.1879623380373001E-2</v>
      </c>
      <c r="I5" s="13">
        <f>'Abatement - Report 1'!I4</f>
        <v>11.456332998165456</v>
      </c>
      <c r="J5" s="37">
        <v>18.665415608397101</v>
      </c>
      <c r="K5" s="37">
        <v>1.88581557967057</v>
      </c>
      <c r="L5" s="13">
        <v>180.02878520747279</v>
      </c>
      <c r="M5" s="121">
        <v>36.533445444094802</v>
      </c>
      <c r="N5" s="123">
        <v>4.38537741230307</v>
      </c>
      <c r="O5" s="122">
        <v>358.44888822204535</v>
      </c>
      <c r="P5" s="37">
        <f>JIN_CEA_01!E79</f>
        <v>49.3035565994671</v>
      </c>
      <c r="Q5" s="37">
        <f>JIN_CEA_01!F79</f>
        <v>8.5171658063440407</v>
      </c>
      <c r="R5" s="13">
        <f t="shared" ref="R5:R10" si="1">(Q5+P5)*C5</f>
        <v>506.50952827490556</v>
      </c>
      <c r="T5" s="96">
        <f t="shared" ref="T5:T6" si="2">R5-O5</f>
        <v>148.06064005286021</v>
      </c>
      <c r="U5" s="96">
        <f>T5*(44/12)</f>
        <v>542.88901352715402</v>
      </c>
      <c r="W5" s="125">
        <f t="shared" ref="W5:W7" si="3">T5/$V$8</f>
        <v>8.9325196445998151E-2</v>
      </c>
      <c r="X5" s="2">
        <f>W5*$W$4</f>
        <v>541.63762068174117</v>
      </c>
      <c r="Y5" s="2">
        <f>$X$4*W5</f>
        <v>406.1616682399536</v>
      </c>
    </row>
    <row r="6" spans="1:25" x14ac:dyDescent="0.3">
      <c r="A6" s="7" t="s">
        <v>194</v>
      </c>
      <c r="B6" s="2" t="s">
        <v>193</v>
      </c>
      <c r="C6" s="11">
        <f>'CEA Attributes'!G5</f>
        <v>2.7</v>
      </c>
      <c r="D6" s="57">
        <v>0</v>
      </c>
      <c r="E6" s="57">
        <v>0</v>
      </c>
      <c r="F6" s="12">
        <f t="shared" si="0"/>
        <v>0</v>
      </c>
      <c r="G6" s="107">
        <f>'Abatement - Report 1'!G5</f>
        <v>8.6244365766503908</v>
      </c>
      <c r="H6" s="12">
        <f>'Abatement - Report 1'!H5</f>
        <v>1.16397464519216</v>
      </c>
      <c r="I6" s="13">
        <f>'Abatement - Report 1'!I5</f>
        <v>26.428710298974892</v>
      </c>
      <c r="J6" s="57">
        <v>11.3926510530081</v>
      </c>
      <c r="K6" s="57">
        <v>2.1026674465216502</v>
      </c>
      <c r="L6" s="13">
        <v>36.437359948730325</v>
      </c>
      <c r="M6" s="107">
        <v>15.0085075230317</v>
      </c>
      <c r="N6" s="12">
        <v>2.81566298877744</v>
      </c>
      <c r="O6" s="13">
        <v>48.125260381884679</v>
      </c>
      <c r="P6" s="57">
        <f>HID_CEA_01!E117</f>
        <v>20.3339430688013</v>
      </c>
      <c r="Q6" s="57">
        <f>HID_CEA_01!F117</f>
        <v>4.1384045172013098</v>
      </c>
      <c r="R6" s="13">
        <f t="shared" si="1"/>
        <v>66.075338482207044</v>
      </c>
      <c r="S6" s="96"/>
      <c r="T6" s="96">
        <f t="shared" si="2"/>
        <v>17.950078100322365</v>
      </c>
      <c r="U6" s="96">
        <f t="shared" ref="U6:U8" si="4">T6*(44/12)</f>
        <v>65.816953034515336</v>
      </c>
      <c r="W6" s="125">
        <f t="shared" si="3"/>
        <v>1.0829307856293645E-2</v>
      </c>
      <c r="X6" s="2">
        <f t="shared" ref="X6:X7" si="5">W6*$W$4</f>
        <v>65.665240875893517</v>
      </c>
      <c r="Y6" s="2">
        <f t="shared" ref="Y6:Y8" si="6">$X$4*W6</f>
        <v>49.240862822567202</v>
      </c>
    </row>
    <row r="7" spans="1:25" x14ac:dyDescent="0.3">
      <c r="A7" s="7" t="s">
        <v>58</v>
      </c>
      <c r="B7" s="2" t="s">
        <v>193</v>
      </c>
      <c r="C7" s="11">
        <f>'CEA Attributes'!H5</f>
        <v>3.24</v>
      </c>
      <c r="D7" s="57">
        <f>LIS_CEA_01!E20</f>
        <v>0.29377931116845402</v>
      </c>
      <c r="E7" s="57">
        <f>LIS_CEA_01!F20</f>
        <v>3.3778267840071999E-2</v>
      </c>
      <c r="F7" s="12">
        <f t="shared" si="0"/>
        <v>1.0612865559876243</v>
      </c>
      <c r="G7" s="107">
        <f>'Abatement - Report 1'!G6</f>
        <v>3.6519413209689802</v>
      </c>
      <c r="H7" s="12">
        <f>'Abatement - Report 1'!H6</f>
        <v>0.64600860840964303</v>
      </c>
      <c r="I7" s="13">
        <f>'Abatement - Report 1'!I6</f>
        <v>13.925357771186739</v>
      </c>
      <c r="J7" s="57">
        <v>6.0646123413446897</v>
      </c>
      <c r="K7" s="57">
        <v>1.1987737889733701</v>
      </c>
      <c r="L7" s="13">
        <v>23.533371062230515</v>
      </c>
      <c r="M7" s="107">
        <v>7.8642870539988001</v>
      </c>
      <c r="N7" s="12">
        <v>1.6702547412923601</v>
      </c>
      <c r="O7" s="13">
        <v>30.891915416743359</v>
      </c>
      <c r="P7" s="57">
        <f>LIS_CEA_01!E134</f>
        <v>13.213962548440399</v>
      </c>
      <c r="Q7" s="57">
        <f>LIS_CEA_01!F134</f>
        <v>3.1108819478795899</v>
      </c>
      <c r="R7" s="13">
        <f t="shared" si="1"/>
        <v>52.892496168076768</v>
      </c>
      <c r="S7" s="96"/>
      <c r="T7" s="96">
        <f>R7-O7</f>
        <v>22.000580751333409</v>
      </c>
      <c r="U7" s="96">
        <f t="shared" si="4"/>
        <v>80.668796088222493</v>
      </c>
      <c r="W7" s="125">
        <f t="shared" si="3"/>
        <v>1.3272981913608435E-2</v>
      </c>
      <c r="X7" s="2">
        <f t="shared" si="5"/>
        <v>80.482849510270924</v>
      </c>
      <c r="Y7" s="2">
        <f t="shared" si="6"/>
        <v>60.352248761177556</v>
      </c>
    </row>
    <row r="8" spans="1:25" x14ac:dyDescent="0.3">
      <c r="A8" s="7" t="s">
        <v>53</v>
      </c>
      <c r="B8" s="2" t="s">
        <v>193</v>
      </c>
      <c r="C8" s="11">
        <f>'CEA Attributes'!C5</f>
        <v>13.77</v>
      </c>
      <c r="D8" s="57">
        <v>0</v>
      </c>
      <c r="E8" s="57">
        <v>0</v>
      </c>
      <c r="F8" s="12">
        <f t="shared" si="0"/>
        <v>0</v>
      </c>
      <c r="G8" s="107">
        <f>'Abatement - Report 1'!G7</f>
        <v>4.4925290194678702</v>
      </c>
      <c r="H8" s="12">
        <f>'Abatement - Report 1'!H7</f>
        <v>0.171312188465577</v>
      </c>
      <c r="I8" s="13">
        <f>'Abatement - Report 1'!I7</f>
        <v>64.221093433243567</v>
      </c>
      <c r="J8" s="57">
        <v>15.292900319298999</v>
      </c>
      <c r="K8" s="57">
        <v>1.87171380331843</v>
      </c>
      <c r="L8" s="13">
        <v>236.35673646844199</v>
      </c>
      <c r="M8" s="107">
        <v>23.2469995082702</v>
      </c>
      <c r="N8" s="12">
        <v>3.3669807256600901</v>
      </c>
      <c r="O8" s="13">
        <v>366.47450782122013</v>
      </c>
      <c r="P8" s="57">
        <f>STE_CEA_01!E78</f>
        <v>34.431616564614899</v>
      </c>
      <c r="Q8" s="57">
        <f>STE_CEA_01!F78</f>
        <v>6.2363016207602202</v>
      </c>
      <c r="R8" s="13">
        <f t="shared" si="1"/>
        <v>559.9972334126154</v>
      </c>
      <c r="S8" s="96"/>
      <c r="T8" s="96">
        <f>SUM(R8:R10)-SUM(O8:O10)</f>
        <v>1469.5349024337684</v>
      </c>
      <c r="U8" s="96">
        <f t="shared" si="4"/>
        <v>5388.2946422571504</v>
      </c>
      <c r="V8" s="124">
        <f>SUM(R5:R10)-SUM(O5:O10)</f>
        <v>1657.5462013382839</v>
      </c>
      <c r="W8" s="125">
        <f>T8/$V$8</f>
        <v>0.88657251378410007</v>
      </c>
      <c r="X8" s="2">
        <f>W8*$W$4</f>
        <v>5375.8742889320965</v>
      </c>
      <c r="Y8" s="2">
        <f t="shared" si="6"/>
        <v>4031.2452201763031</v>
      </c>
    </row>
    <row r="9" spans="1:25" x14ac:dyDescent="0.3">
      <c r="A9" s="7" t="s">
        <v>54</v>
      </c>
      <c r="B9" s="2" t="s">
        <v>193</v>
      </c>
      <c r="C9" s="11">
        <f>'CEA Attributes'!D5</f>
        <v>24.62</v>
      </c>
      <c r="D9" s="57">
        <v>0</v>
      </c>
      <c r="E9" s="57">
        <v>0</v>
      </c>
      <c r="F9" s="12">
        <f t="shared" si="0"/>
        <v>0</v>
      </c>
      <c r="G9" s="107">
        <f>'Abatement - Report 1'!G8</f>
        <v>4.5082506241216302</v>
      </c>
      <c r="H9" s="12">
        <f>'Abatement - Report 1'!H8</f>
        <v>0.17253132396936899</v>
      </c>
      <c r="I9" s="13">
        <f>'Abatement - Report 1'!I8</f>
        <v>115.2408515620004</v>
      </c>
      <c r="J9" s="57">
        <v>15.3374014504288</v>
      </c>
      <c r="K9" s="57">
        <v>1.87903751706196</v>
      </c>
      <c r="L9" s="13">
        <v>423.8687273796225</v>
      </c>
      <c r="M9" s="107">
        <v>23.310062851119699</v>
      </c>
      <c r="N9" s="12">
        <v>3.3806721298769902</v>
      </c>
      <c r="O9" s="13">
        <v>657.12589523213853</v>
      </c>
      <c r="P9" s="57">
        <f>STE_CEA_02!E78</f>
        <v>34.520036794364202</v>
      </c>
      <c r="Q9" s="57">
        <f>STE_CEA_02!F78</f>
        <v>6.2648942990542897</v>
      </c>
      <c r="R9" s="13">
        <f t="shared" si="1"/>
        <v>1004.1250035199633</v>
      </c>
      <c r="T9" s="96"/>
      <c r="U9" s="96"/>
    </row>
    <row r="10" spans="1:25" x14ac:dyDescent="0.3">
      <c r="A10" s="7" t="s">
        <v>55</v>
      </c>
      <c r="B10" s="2" t="s">
        <v>193</v>
      </c>
      <c r="C10" s="11">
        <f>'CEA Attributes'!E5</f>
        <v>66.16</v>
      </c>
      <c r="D10" s="62">
        <v>0</v>
      </c>
      <c r="E10" s="62">
        <v>0</v>
      </c>
      <c r="F10" s="12">
        <f t="shared" si="0"/>
        <v>0</v>
      </c>
      <c r="G10" s="108">
        <f>'Abatement - Report 1'!G9</f>
        <v>4.4925866900188502</v>
      </c>
      <c r="H10" s="109">
        <f>'Abatement - Report 1'!H9</f>
        <v>0.17205495611221899</v>
      </c>
      <c r="I10" s="110">
        <f>'Abatement - Report 1'!I9</f>
        <v>308.61269130803151</v>
      </c>
      <c r="J10" s="57">
        <v>15.281489546836299</v>
      </c>
      <c r="K10" s="57">
        <v>1.8723688367635001</v>
      </c>
      <c r="L10" s="13">
        <v>1134.8992706589627</v>
      </c>
      <c r="M10" s="108">
        <v>23.224519498307099</v>
      </c>
      <c r="N10" s="109">
        <v>3.3684945335243501</v>
      </c>
      <c r="O10" s="110">
        <v>1759.3938083459686</v>
      </c>
      <c r="P10" s="57">
        <f>STE_CEA_03!E78</f>
        <v>34.392830092644097</v>
      </c>
      <c r="Q10" s="57">
        <f>STE_CEA_03!F78</f>
        <v>6.2420985183068796</v>
      </c>
      <c r="R10" s="13">
        <f t="shared" si="1"/>
        <v>2688.4068769005166</v>
      </c>
      <c r="T10" s="96"/>
      <c r="U10" s="96"/>
    </row>
    <row r="11" spans="1:25" x14ac:dyDescent="0.3">
      <c r="A11" s="52"/>
      <c r="B11" s="53"/>
      <c r="C11" s="54"/>
      <c r="D11" s="87"/>
      <c r="E11" s="87"/>
      <c r="F11" s="55"/>
      <c r="G11" s="55"/>
      <c r="H11" s="55"/>
      <c r="I11" s="55"/>
      <c r="J11" s="54"/>
      <c r="K11" s="54"/>
      <c r="L11" s="56"/>
      <c r="M11" s="55"/>
      <c r="N11" s="55"/>
      <c r="O11" s="55"/>
      <c r="P11" s="54"/>
      <c r="Q11" s="54"/>
      <c r="R11" s="56"/>
    </row>
    <row r="12" spans="1:25" x14ac:dyDescent="0.3">
      <c r="A12" s="4"/>
      <c r="B12" s="5"/>
      <c r="C12" s="45"/>
      <c r="D12" s="45"/>
      <c r="E12" s="45"/>
      <c r="F12" s="5"/>
      <c r="G12" s="5"/>
      <c r="H12" s="5"/>
      <c r="I12" s="5"/>
      <c r="J12" s="45"/>
      <c r="K12" s="45"/>
      <c r="L12" s="6"/>
      <c r="M12" s="5"/>
      <c r="N12" s="5"/>
      <c r="O12" s="5"/>
      <c r="P12" s="45"/>
      <c r="Q12" s="45"/>
      <c r="R12" s="6"/>
    </row>
    <row r="13" spans="1:25" ht="18" x14ac:dyDescent="0.35">
      <c r="A13" s="7"/>
      <c r="D13" s="113"/>
      <c r="E13" s="114" t="s">
        <v>195</v>
      </c>
      <c r="F13" s="115">
        <f>SUM(F5:F10)*44/12</f>
        <v>3.8913840386212892</v>
      </c>
      <c r="G13" s="4"/>
      <c r="H13" s="114" t="s">
        <v>196</v>
      </c>
      <c r="I13" s="58">
        <f>SUM(I5:I10)*44/12</f>
        <v>1979.5784703625425</v>
      </c>
      <c r="J13" s="4"/>
      <c r="K13" s="114" t="s">
        <v>197</v>
      </c>
      <c r="L13" s="58">
        <v>7462.1222526600222</v>
      </c>
      <c r="M13" s="37"/>
      <c r="N13" s="37" t="s">
        <v>197</v>
      </c>
      <c r="O13" s="37">
        <v>11808.354343206667</v>
      </c>
      <c r="P13" s="4"/>
      <c r="Q13" s="114" t="s">
        <v>196</v>
      </c>
      <c r="R13" s="58">
        <f>SUM(R5:R10)*44/12</f>
        <v>17886.023748113712</v>
      </c>
      <c r="V13" s="96"/>
    </row>
    <row r="14" spans="1:25" x14ac:dyDescent="0.3">
      <c r="A14" s="7"/>
      <c r="D14" s="116"/>
      <c r="E14" s="117" t="s">
        <v>198</v>
      </c>
      <c r="F14" s="118"/>
      <c r="G14" s="116"/>
      <c r="H14" s="117" t="s">
        <v>199</v>
      </c>
      <c r="I14" s="118"/>
      <c r="J14" s="116"/>
      <c r="K14" s="117" t="s">
        <v>199</v>
      </c>
      <c r="L14" s="118"/>
      <c r="M14" s="10"/>
      <c r="N14" s="10" t="s">
        <v>199</v>
      </c>
      <c r="O14" s="10"/>
      <c r="P14" s="116"/>
      <c r="Q14" s="117" t="s">
        <v>199</v>
      </c>
      <c r="R14" s="118"/>
    </row>
    <row r="15" spans="1:25" x14ac:dyDescent="0.3">
      <c r="A15" s="7"/>
      <c r="Q15" s="40"/>
      <c r="R15" s="38"/>
    </row>
    <row r="16" spans="1:25" x14ac:dyDescent="0.3">
      <c r="A16" s="7"/>
      <c r="E16" s="40" t="s">
        <v>200</v>
      </c>
      <c r="R16" s="38">
        <f>R13-F13</f>
        <v>17882.132364075089</v>
      </c>
    </row>
    <row r="17" spans="1:18" x14ac:dyDescent="0.3">
      <c r="A17" s="9"/>
      <c r="B17" s="10"/>
      <c r="C17" s="41"/>
      <c r="D17" s="41"/>
      <c r="E17" s="4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41"/>
      <c r="Q17" s="41"/>
      <c r="R1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2:R17"/>
  <sheetViews>
    <sheetView zoomScale="85" zoomScaleNormal="85" workbookViewId="0">
      <selection sqref="A1:O17"/>
    </sheetView>
  </sheetViews>
  <sheetFormatPr defaultColWidth="9" defaultRowHeight="16.5" x14ac:dyDescent="0.3"/>
  <cols>
    <col min="1" max="1" width="11.7109375" style="2" customWidth="1"/>
    <col min="2" max="2" width="16.85546875" style="2" customWidth="1"/>
    <col min="3" max="3" width="8.42578125" style="11" bestFit="1" customWidth="1"/>
    <col min="4" max="4" width="12.42578125" style="11" bestFit="1" customWidth="1"/>
    <col min="5" max="5" width="11.85546875" style="11" bestFit="1" customWidth="1"/>
    <col min="6" max="6" width="11.85546875" style="2" bestFit="1" customWidth="1"/>
    <col min="7" max="12" width="11.85546875" style="2" customWidth="1"/>
    <col min="13" max="13" width="11.5703125" style="11" customWidth="1"/>
    <col min="14" max="14" width="11.85546875" style="11" bestFit="1" customWidth="1"/>
    <col min="15" max="15" width="11.85546875" style="2" bestFit="1" customWidth="1"/>
    <col min="16" max="16" width="7.7109375" style="2" customWidth="1"/>
    <col min="17" max="17" width="9.42578125" style="2" bestFit="1" customWidth="1"/>
    <col min="18" max="18" width="10.85546875" style="2" customWidth="1"/>
    <col min="19" max="16384" width="9" style="2"/>
  </cols>
  <sheetData>
    <row r="2" spans="1:18" x14ac:dyDescent="0.3">
      <c r="A2" s="64" t="s">
        <v>170</v>
      </c>
    </row>
    <row r="3" spans="1:18" x14ac:dyDescent="0.3">
      <c r="A3" s="4"/>
      <c r="B3" s="5"/>
      <c r="C3" s="45"/>
      <c r="D3" s="5"/>
      <c r="E3" s="5"/>
      <c r="F3" s="5" t="s">
        <v>171</v>
      </c>
      <c r="G3" s="119" t="s">
        <v>172</v>
      </c>
      <c r="H3" s="5"/>
      <c r="I3" s="6" t="s">
        <v>173</v>
      </c>
      <c r="J3" s="120" t="s">
        <v>174</v>
      </c>
      <c r="K3" s="5"/>
      <c r="L3" s="6" t="s">
        <v>173</v>
      </c>
      <c r="M3" s="120" t="s">
        <v>175</v>
      </c>
      <c r="N3" s="5"/>
      <c r="O3" s="6" t="s">
        <v>173</v>
      </c>
    </row>
    <row r="4" spans="1:18" s="16" customFormat="1" ht="66" x14ac:dyDescent="0.3">
      <c r="A4" s="36" t="s">
        <v>183</v>
      </c>
      <c r="B4" s="16" t="s">
        <v>184</v>
      </c>
      <c r="C4" s="43" t="s">
        <v>185</v>
      </c>
      <c r="D4" s="43" t="s">
        <v>203</v>
      </c>
      <c r="E4" s="43" t="s">
        <v>187</v>
      </c>
      <c r="F4" s="46" t="s">
        <v>188</v>
      </c>
      <c r="G4" s="111" t="s">
        <v>189</v>
      </c>
      <c r="H4" s="46" t="s">
        <v>190</v>
      </c>
      <c r="I4" s="47" t="s">
        <v>191</v>
      </c>
      <c r="J4" s="43" t="s">
        <v>189</v>
      </c>
      <c r="K4" s="43" t="s">
        <v>190</v>
      </c>
      <c r="L4" s="47" t="s">
        <v>191</v>
      </c>
      <c r="M4" s="43" t="s">
        <v>189</v>
      </c>
      <c r="N4" s="43" t="s">
        <v>190</v>
      </c>
      <c r="O4" s="47" t="s">
        <v>191</v>
      </c>
      <c r="Q4" s="2"/>
      <c r="R4" s="2"/>
    </row>
    <row r="5" spans="1:18" x14ac:dyDescent="0.3">
      <c r="A5" s="4" t="s">
        <v>56</v>
      </c>
      <c r="B5" s="5" t="s">
        <v>193</v>
      </c>
      <c r="C5" s="45">
        <v>8.76</v>
      </c>
      <c r="D5" s="37">
        <v>0</v>
      </c>
      <c r="E5" s="37">
        <v>0</v>
      </c>
      <c r="F5" s="12">
        <v>0</v>
      </c>
      <c r="G5" s="107">
        <v>1.2359209471864601</v>
      </c>
      <c r="H5" s="12">
        <v>7.1879623380373001E-2</v>
      </c>
      <c r="I5" s="13">
        <v>11.456332998165456</v>
      </c>
      <c r="J5" s="37">
        <v>18.665415608397101</v>
      </c>
      <c r="K5" s="37">
        <v>1.88581557967057</v>
      </c>
      <c r="L5" s="13">
        <v>180.02878520747279</v>
      </c>
      <c r="M5" s="37">
        <v>36.533445444094802</v>
      </c>
      <c r="N5" s="37">
        <v>4.38537741230307</v>
      </c>
      <c r="O5" s="13">
        <v>358.44888822204535</v>
      </c>
    </row>
    <row r="6" spans="1:18" x14ac:dyDescent="0.3">
      <c r="A6" s="7" t="s">
        <v>194</v>
      </c>
      <c r="B6" s="2" t="s">
        <v>193</v>
      </c>
      <c r="C6" s="11">
        <v>2.7</v>
      </c>
      <c r="D6" s="57">
        <v>0</v>
      </c>
      <c r="E6" s="57">
        <v>0</v>
      </c>
      <c r="F6" s="12">
        <v>0</v>
      </c>
      <c r="G6" s="107">
        <v>8.6244365766503908</v>
      </c>
      <c r="H6" s="12">
        <v>1.16397464519216</v>
      </c>
      <c r="I6" s="13">
        <v>26.428710298974892</v>
      </c>
      <c r="J6" s="57">
        <v>11.3926510530081</v>
      </c>
      <c r="K6" s="57">
        <v>2.1026674465216502</v>
      </c>
      <c r="L6" s="13">
        <v>36.437359948730325</v>
      </c>
      <c r="M6" s="57">
        <v>15.0085075230317</v>
      </c>
      <c r="N6" s="57">
        <v>2.81566298877744</v>
      </c>
      <c r="O6" s="13">
        <v>48.125260381884679</v>
      </c>
      <c r="P6" s="96"/>
    </row>
    <row r="7" spans="1:18" x14ac:dyDescent="0.3">
      <c r="A7" s="7" t="s">
        <v>58</v>
      </c>
      <c r="B7" s="2" t="s">
        <v>193</v>
      </c>
      <c r="C7" s="11">
        <v>3.24</v>
      </c>
      <c r="D7" s="57">
        <v>0.29377931116845402</v>
      </c>
      <c r="E7" s="57">
        <v>3.3778267840071999E-2</v>
      </c>
      <c r="F7" s="12">
        <v>1.0612865559876243</v>
      </c>
      <c r="G7" s="107">
        <v>3.6519413209689802</v>
      </c>
      <c r="H7" s="12">
        <v>0.64600860840964303</v>
      </c>
      <c r="I7" s="13">
        <v>13.925357771186739</v>
      </c>
      <c r="J7" s="57">
        <v>6.0646123413446897</v>
      </c>
      <c r="K7" s="57">
        <v>1.1987737889733701</v>
      </c>
      <c r="L7" s="13">
        <v>23.533371062230515</v>
      </c>
      <c r="M7" s="57">
        <v>7.8642870539988001</v>
      </c>
      <c r="N7" s="57">
        <v>1.6702547412923601</v>
      </c>
      <c r="O7" s="13">
        <v>30.891915416743359</v>
      </c>
      <c r="P7" s="96"/>
    </row>
    <row r="8" spans="1:18" x14ac:dyDescent="0.3">
      <c r="A8" s="7" t="s">
        <v>53</v>
      </c>
      <c r="B8" s="2" t="s">
        <v>193</v>
      </c>
      <c r="C8" s="11">
        <v>13.77</v>
      </c>
      <c r="D8" s="57">
        <v>0</v>
      </c>
      <c r="E8" s="57">
        <v>0</v>
      </c>
      <c r="F8" s="12">
        <v>0</v>
      </c>
      <c r="G8" s="107">
        <v>4.4925290194678702</v>
      </c>
      <c r="H8" s="12">
        <v>0.171312188465577</v>
      </c>
      <c r="I8" s="13">
        <v>64.221093433243567</v>
      </c>
      <c r="J8" s="57">
        <v>15.292900319298999</v>
      </c>
      <c r="K8" s="57">
        <v>1.87171380331843</v>
      </c>
      <c r="L8" s="13">
        <v>236.35673646844199</v>
      </c>
      <c r="M8" s="57">
        <v>23.2469995082702</v>
      </c>
      <c r="N8" s="57">
        <v>3.3669807256600901</v>
      </c>
      <c r="O8" s="13">
        <v>366.47450782122013</v>
      </c>
      <c r="P8" s="96"/>
    </row>
    <row r="9" spans="1:18" x14ac:dyDescent="0.3">
      <c r="A9" s="7" t="s">
        <v>54</v>
      </c>
      <c r="B9" s="2" t="s">
        <v>193</v>
      </c>
      <c r="C9" s="11">
        <v>24.62</v>
      </c>
      <c r="D9" s="57">
        <v>0</v>
      </c>
      <c r="E9" s="57">
        <v>0</v>
      </c>
      <c r="F9" s="12">
        <v>0</v>
      </c>
      <c r="G9" s="107">
        <v>4.5082506241216302</v>
      </c>
      <c r="H9" s="12">
        <v>0.17253132396936899</v>
      </c>
      <c r="I9" s="13">
        <v>115.2408515620004</v>
      </c>
      <c r="J9" s="57">
        <v>15.3374014504288</v>
      </c>
      <c r="K9" s="57">
        <v>1.87903751706196</v>
      </c>
      <c r="L9" s="13">
        <v>423.8687273796225</v>
      </c>
      <c r="M9" s="57">
        <v>23.310062851119699</v>
      </c>
      <c r="N9" s="57">
        <v>3.3806721298769902</v>
      </c>
      <c r="O9" s="13">
        <v>657.12589523213853</v>
      </c>
    </row>
    <row r="10" spans="1:18" x14ac:dyDescent="0.3">
      <c r="A10" s="7" t="s">
        <v>55</v>
      </c>
      <c r="B10" s="2" t="s">
        <v>193</v>
      </c>
      <c r="C10" s="11">
        <v>66.16</v>
      </c>
      <c r="D10" s="62">
        <v>0</v>
      </c>
      <c r="E10" s="62">
        <v>0</v>
      </c>
      <c r="F10" s="12">
        <v>0</v>
      </c>
      <c r="G10" s="108">
        <v>4.4925866900188502</v>
      </c>
      <c r="H10" s="109">
        <v>0.17205495611221899</v>
      </c>
      <c r="I10" s="110">
        <v>308.61269130803151</v>
      </c>
      <c r="J10" s="57">
        <v>15.281489546836299</v>
      </c>
      <c r="K10" s="57">
        <v>1.8723688367635001</v>
      </c>
      <c r="L10" s="13">
        <v>1134.8992706589627</v>
      </c>
      <c r="M10" s="57">
        <v>23.224519498307099</v>
      </c>
      <c r="N10" s="57">
        <v>3.3684945335243501</v>
      </c>
      <c r="O10" s="13">
        <v>1759.3938083459686</v>
      </c>
    </row>
    <row r="11" spans="1:18" x14ac:dyDescent="0.3">
      <c r="A11" s="52"/>
      <c r="B11" s="53"/>
      <c r="C11" s="54"/>
      <c r="D11" s="87"/>
      <c r="E11" s="87"/>
      <c r="F11" s="55"/>
      <c r="G11" s="55"/>
      <c r="H11" s="55"/>
      <c r="I11" s="55"/>
      <c r="J11" s="54"/>
      <c r="K11" s="54"/>
      <c r="L11" s="56"/>
      <c r="M11" s="54"/>
      <c r="N11" s="54"/>
      <c r="O11" s="56"/>
    </row>
    <row r="12" spans="1:18" x14ac:dyDescent="0.3">
      <c r="A12" s="4"/>
      <c r="B12" s="5"/>
      <c r="C12" s="45"/>
      <c r="D12" s="45"/>
      <c r="E12" s="45"/>
      <c r="F12" s="5"/>
      <c r="G12" s="5"/>
      <c r="H12" s="5"/>
      <c r="I12" s="5"/>
      <c r="J12" s="45"/>
      <c r="K12" s="45"/>
      <c r="L12" s="6"/>
      <c r="M12" s="45"/>
      <c r="N12" s="45"/>
      <c r="O12" s="6"/>
    </row>
    <row r="13" spans="1:18" x14ac:dyDescent="0.3">
      <c r="A13" s="7"/>
      <c r="D13" s="113"/>
      <c r="E13" s="114" t="s">
        <v>204</v>
      </c>
      <c r="F13" s="115">
        <v>3.8913840386212892</v>
      </c>
      <c r="G13" s="4"/>
      <c r="H13" s="114" t="s">
        <v>197</v>
      </c>
      <c r="I13" s="58">
        <v>1979.5784703625425</v>
      </c>
      <c r="J13" s="4"/>
      <c r="K13" s="114" t="s">
        <v>197</v>
      </c>
      <c r="L13" s="58">
        <v>7462.1222526600222</v>
      </c>
      <c r="M13" s="4"/>
      <c r="N13" s="114" t="s">
        <v>197</v>
      </c>
      <c r="O13" s="58">
        <v>11808.354343206667</v>
      </c>
      <c r="R13" s="96"/>
    </row>
    <row r="14" spans="1:18" x14ac:dyDescent="0.3">
      <c r="A14" s="7"/>
      <c r="D14" s="116"/>
      <c r="E14" s="117" t="s">
        <v>198</v>
      </c>
      <c r="F14" s="118"/>
      <c r="G14" s="116"/>
      <c r="H14" s="117" t="s">
        <v>199</v>
      </c>
      <c r="I14" s="118"/>
      <c r="J14" s="116"/>
      <c r="K14" s="117" t="s">
        <v>199</v>
      </c>
      <c r="L14" s="118"/>
      <c r="M14" s="116"/>
      <c r="N14" s="117" t="s">
        <v>199</v>
      </c>
      <c r="O14" s="118"/>
    </row>
    <row r="15" spans="1:18" x14ac:dyDescent="0.3">
      <c r="A15" s="7"/>
      <c r="N15" s="40"/>
      <c r="O15" s="38"/>
    </row>
    <row r="16" spans="1:18" x14ac:dyDescent="0.3">
      <c r="A16" s="7"/>
      <c r="E16" s="40" t="s">
        <v>200</v>
      </c>
      <c r="O16" s="38">
        <v>11804.462959168046</v>
      </c>
    </row>
    <row r="17" spans="1:15" x14ac:dyDescent="0.3">
      <c r="A17" s="9"/>
      <c r="B17" s="10"/>
      <c r="C17" s="41"/>
      <c r="D17" s="41"/>
      <c r="E17" s="41"/>
      <c r="F17" s="10"/>
      <c r="G17" s="10"/>
      <c r="H17" s="10"/>
      <c r="I17" s="10"/>
      <c r="J17" s="10"/>
      <c r="K17" s="10"/>
      <c r="L17" s="10"/>
      <c r="M17" s="41"/>
      <c r="N17" s="41"/>
      <c r="O1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0EC1-2ED0-4E5A-ACA6-A17940436BB1}">
  <sheetPr>
    <tabColor rgb="FF00B0F0"/>
  </sheetPr>
  <dimension ref="A1:L16"/>
  <sheetViews>
    <sheetView zoomScale="85" zoomScaleNormal="85" workbookViewId="0">
      <selection activeCell="K37" sqref="K37"/>
    </sheetView>
  </sheetViews>
  <sheetFormatPr defaultRowHeight="15" x14ac:dyDescent="0.25"/>
  <sheetData>
    <row r="1" spans="1:12" ht="16.5" x14ac:dyDescent="0.3">
      <c r="A1" s="64" t="s">
        <v>170</v>
      </c>
      <c r="B1" s="2"/>
      <c r="C1" s="11"/>
      <c r="D1" s="11"/>
      <c r="E1" s="11"/>
      <c r="F1" s="2"/>
      <c r="G1" s="2"/>
      <c r="H1" s="2"/>
      <c r="I1" s="2"/>
      <c r="J1" s="11"/>
      <c r="K1" s="11"/>
      <c r="L1" s="2"/>
    </row>
    <row r="2" spans="1:12" ht="16.5" x14ac:dyDescent="0.3">
      <c r="A2" s="4"/>
      <c r="B2" s="5"/>
      <c r="C2" s="45"/>
      <c r="D2" s="5"/>
      <c r="E2" s="5"/>
      <c r="F2" s="5" t="s">
        <v>171</v>
      </c>
      <c r="G2" s="119" t="s">
        <v>172</v>
      </c>
      <c r="H2" s="5"/>
      <c r="I2" s="6" t="s">
        <v>173</v>
      </c>
      <c r="J2" s="120" t="s">
        <v>174</v>
      </c>
      <c r="K2" s="5"/>
      <c r="L2" s="6" t="s">
        <v>173</v>
      </c>
    </row>
    <row r="3" spans="1:12" ht="99" x14ac:dyDescent="0.25">
      <c r="A3" s="36" t="s">
        <v>183</v>
      </c>
      <c r="B3" s="16" t="s">
        <v>184</v>
      </c>
      <c r="C3" s="43" t="s">
        <v>185</v>
      </c>
      <c r="D3" s="43" t="s">
        <v>203</v>
      </c>
      <c r="E3" s="43" t="s">
        <v>187</v>
      </c>
      <c r="F3" s="46" t="s">
        <v>188</v>
      </c>
      <c r="G3" s="111" t="s">
        <v>189</v>
      </c>
      <c r="H3" s="46" t="s">
        <v>190</v>
      </c>
      <c r="I3" s="47" t="s">
        <v>191</v>
      </c>
      <c r="J3" s="43" t="s">
        <v>189</v>
      </c>
      <c r="K3" s="43" t="s">
        <v>190</v>
      </c>
      <c r="L3" s="47" t="s">
        <v>191</v>
      </c>
    </row>
    <row r="4" spans="1:12" ht="16.5" x14ac:dyDescent="0.3">
      <c r="A4" s="4" t="s">
        <v>56</v>
      </c>
      <c r="B4" s="5" t="s">
        <v>193</v>
      </c>
      <c r="C4" s="45">
        <v>8.76</v>
      </c>
      <c r="D4" s="37">
        <v>0</v>
      </c>
      <c r="E4" s="37">
        <v>0</v>
      </c>
      <c r="F4" s="12">
        <v>0</v>
      </c>
      <c r="G4" s="107">
        <v>1.2359209471864601</v>
      </c>
      <c r="H4" s="12">
        <v>7.1879623380373001E-2</v>
      </c>
      <c r="I4" s="13">
        <v>11.456332998165456</v>
      </c>
      <c r="J4" s="37">
        <v>18.665415608397101</v>
      </c>
      <c r="K4" s="37">
        <v>1.88581557967057</v>
      </c>
      <c r="L4" s="13">
        <v>180.02878520747279</v>
      </c>
    </row>
    <row r="5" spans="1:12" ht="16.5" x14ac:dyDescent="0.3">
      <c r="A5" s="7" t="s">
        <v>194</v>
      </c>
      <c r="B5" s="2" t="s">
        <v>193</v>
      </c>
      <c r="C5" s="11">
        <v>2.7</v>
      </c>
      <c r="D5" s="57">
        <v>0</v>
      </c>
      <c r="E5" s="57">
        <v>0</v>
      </c>
      <c r="F5" s="12">
        <v>0</v>
      </c>
      <c r="G5" s="107">
        <v>8.6244365766503908</v>
      </c>
      <c r="H5" s="12">
        <v>1.16397464519216</v>
      </c>
      <c r="I5" s="13">
        <v>26.428710298974892</v>
      </c>
      <c r="J5" s="57">
        <v>11.3926510530081</v>
      </c>
      <c r="K5" s="57">
        <v>2.1026674465216502</v>
      </c>
      <c r="L5" s="13">
        <v>36.437359948730325</v>
      </c>
    </row>
    <row r="6" spans="1:12" ht="16.5" x14ac:dyDescent="0.3">
      <c r="A6" s="7" t="s">
        <v>58</v>
      </c>
      <c r="B6" s="2" t="s">
        <v>193</v>
      </c>
      <c r="C6" s="11">
        <v>3.24</v>
      </c>
      <c r="D6" s="57">
        <v>0.29377931116845402</v>
      </c>
      <c r="E6" s="57">
        <v>3.3778267840071999E-2</v>
      </c>
      <c r="F6" s="12">
        <v>1.0612865559876243</v>
      </c>
      <c r="G6" s="107">
        <v>3.6519413209689802</v>
      </c>
      <c r="H6" s="12">
        <v>0.64600860840964303</v>
      </c>
      <c r="I6" s="13">
        <v>13.925357771186739</v>
      </c>
      <c r="J6" s="57">
        <v>6.0646123413446897</v>
      </c>
      <c r="K6" s="57">
        <v>1.1987737889733701</v>
      </c>
      <c r="L6" s="13">
        <v>23.533371062230515</v>
      </c>
    </row>
    <row r="7" spans="1:12" ht="16.5" x14ac:dyDescent="0.3">
      <c r="A7" s="7" t="s">
        <v>53</v>
      </c>
      <c r="B7" s="2" t="s">
        <v>193</v>
      </c>
      <c r="C7" s="11">
        <v>13.77</v>
      </c>
      <c r="D7" s="57">
        <v>0</v>
      </c>
      <c r="E7" s="57">
        <v>0</v>
      </c>
      <c r="F7" s="12">
        <v>0</v>
      </c>
      <c r="G7" s="107">
        <v>4.4925290194678702</v>
      </c>
      <c r="H7" s="12">
        <v>0.171312188465577</v>
      </c>
      <c r="I7" s="13">
        <v>64.221093433243567</v>
      </c>
      <c r="J7" s="57">
        <v>15.292900319298999</v>
      </c>
      <c r="K7" s="57">
        <v>1.87171380331843</v>
      </c>
      <c r="L7" s="13">
        <v>236.35673646844199</v>
      </c>
    </row>
    <row r="8" spans="1:12" ht="16.5" x14ac:dyDescent="0.3">
      <c r="A8" s="7" t="s">
        <v>54</v>
      </c>
      <c r="B8" s="2" t="s">
        <v>193</v>
      </c>
      <c r="C8" s="11">
        <v>24.62</v>
      </c>
      <c r="D8" s="57">
        <v>0</v>
      </c>
      <c r="E8" s="57">
        <v>0</v>
      </c>
      <c r="F8" s="12">
        <v>0</v>
      </c>
      <c r="G8" s="107">
        <v>4.5082506241216302</v>
      </c>
      <c r="H8" s="12">
        <v>0.17253132396936899</v>
      </c>
      <c r="I8" s="13">
        <v>115.2408515620004</v>
      </c>
      <c r="J8" s="57">
        <v>15.3374014504288</v>
      </c>
      <c r="K8" s="57">
        <v>1.87903751706196</v>
      </c>
      <c r="L8" s="13">
        <v>423.8687273796225</v>
      </c>
    </row>
    <row r="9" spans="1:12" ht="16.5" x14ac:dyDescent="0.3">
      <c r="A9" s="7" t="s">
        <v>55</v>
      </c>
      <c r="B9" s="2" t="s">
        <v>193</v>
      </c>
      <c r="C9" s="11">
        <v>66.16</v>
      </c>
      <c r="D9" s="62">
        <v>0</v>
      </c>
      <c r="E9" s="62">
        <v>0</v>
      </c>
      <c r="F9" s="12">
        <v>0</v>
      </c>
      <c r="G9" s="108">
        <v>4.4925866900188502</v>
      </c>
      <c r="H9" s="109">
        <v>0.17205495611221899</v>
      </c>
      <c r="I9" s="110">
        <v>308.61269130803151</v>
      </c>
      <c r="J9" s="57">
        <v>15.281489546836299</v>
      </c>
      <c r="K9" s="57">
        <v>1.8723688367635001</v>
      </c>
      <c r="L9" s="13">
        <v>1134.8992706589627</v>
      </c>
    </row>
    <row r="10" spans="1:12" ht="16.5" x14ac:dyDescent="0.3">
      <c r="A10" s="52"/>
      <c r="B10" s="53"/>
      <c r="C10" s="54"/>
      <c r="D10" s="87"/>
      <c r="E10" s="87"/>
      <c r="F10" s="55"/>
      <c r="G10" s="55"/>
      <c r="H10" s="55"/>
      <c r="I10" s="55"/>
      <c r="J10" s="54"/>
      <c r="K10" s="54"/>
      <c r="L10" s="56"/>
    </row>
    <row r="11" spans="1:12" ht="16.5" x14ac:dyDescent="0.3">
      <c r="A11" s="4"/>
      <c r="B11" s="5"/>
      <c r="C11" s="45"/>
      <c r="D11" s="45"/>
      <c r="E11" s="45"/>
      <c r="F11" s="5"/>
      <c r="G11" s="5"/>
      <c r="H11" s="5"/>
      <c r="I11" s="5"/>
      <c r="J11" s="45"/>
      <c r="K11" s="45"/>
      <c r="L11" s="6"/>
    </row>
    <row r="12" spans="1:12" ht="16.5" x14ac:dyDescent="0.3">
      <c r="A12" s="7"/>
      <c r="B12" s="2"/>
      <c r="C12" s="11"/>
      <c r="D12" s="113"/>
      <c r="E12" s="114" t="s">
        <v>204</v>
      </c>
      <c r="F12" s="115">
        <v>3.8913840386212892</v>
      </c>
      <c r="G12" s="4"/>
      <c r="H12" s="114" t="s">
        <v>197</v>
      </c>
      <c r="I12" s="58">
        <v>1979.5784703625425</v>
      </c>
      <c r="J12" s="4"/>
      <c r="K12" s="114" t="s">
        <v>197</v>
      </c>
      <c r="L12" s="58">
        <v>7462.1222526600222</v>
      </c>
    </row>
    <row r="13" spans="1:12" ht="16.5" x14ac:dyDescent="0.3">
      <c r="A13" s="7"/>
      <c r="B13" s="2"/>
      <c r="C13" s="11"/>
      <c r="D13" s="116"/>
      <c r="E13" s="117" t="s">
        <v>198</v>
      </c>
      <c r="F13" s="118"/>
      <c r="G13" s="116"/>
      <c r="H13" s="117" t="s">
        <v>199</v>
      </c>
      <c r="I13" s="118"/>
      <c r="J13" s="116"/>
      <c r="K13" s="117" t="s">
        <v>199</v>
      </c>
      <c r="L13" s="118"/>
    </row>
    <row r="14" spans="1:12" ht="16.5" x14ac:dyDescent="0.3">
      <c r="A14" s="7"/>
      <c r="B14" s="2"/>
      <c r="C14" s="11"/>
      <c r="D14" s="11"/>
      <c r="E14" s="11"/>
      <c r="F14" s="2"/>
      <c r="G14" s="2"/>
      <c r="H14" s="2"/>
      <c r="I14" s="2"/>
      <c r="J14" s="11"/>
      <c r="K14" s="40"/>
      <c r="L14" s="38"/>
    </row>
    <row r="15" spans="1:12" ht="16.5" x14ac:dyDescent="0.3">
      <c r="A15" s="7"/>
      <c r="B15" s="2"/>
      <c r="C15" s="11"/>
      <c r="D15" s="11"/>
      <c r="E15" s="40" t="s">
        <v>200</v>
      </c>
      <c r="F15" s="2"/>
      <c r="G15" s="2"/>
      <c r="H15" s="2"/>
      <c r="I15" s="2"/>
      <c r="J15" s="11"/>
      <c r="K15" s="11"/>
      <c r="L15" s="38">
        <v>7458.230868621401</v>
      </c>
    </row>
    <row r="16" spans="1:12" ht="16.5" x14ac:dyDescent="0.3">
      <c r="A16" s="9"/>
      <c r="B16" s="10"/>
      <c r="C16" s="41"/>
      <c r="D16" s="41"/>
      <c r="E16" s="41"/>
      <c r="F16" s="10"/>
      <c r="G16" s="10"/>
      <c r="H16" s="10"/>
      <c r="I16" s="10"/>
      <c r="J16" s="41"/>
      <c r="K16" s="41"/>
      <c r="L16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J16"/>
  <sheetViews>
    <sheetView zoomScale="85" zoomScaleNormal="85" workbookViewId="0">
      <selection activeCell="G32" sqref="G32"/>
    </sheetView>
  </sheetViews>
  <sheetFormatPr defaultRowHeight="15" x14ac:dyDescent="0.25"/>
  <cols>
    <col min="1" max="1" width="23" bestFit="1" customWidth="1"/>
    <col min="2" max="2" width="41.140625" bestFit="1" customWidth="1"/>
    <col min="3" max="9" width="12.28515625" customWidth="1"/>
  </cols>
  <sheetData>
    <row r="1" spans="1:10" ht="16.5" x14ac:dyDescent="0.3">
      <c r="A1" s="64" t="s">
        <v>170</v>
      </c>
      <c r="B1" s="2"/>
      <c r="C1" s="11"/>
      <c r="D1" s="11"/>
      <c r="E1" s="11"/>
      <c r="F1" s="2"/>
      <c r="G1" s="11"/>
      <c r="H1" s="11"/>
      <c r="I1" s="2"/>
      <c r="J1" s="2"/>
    </row>
    <row r="2" spans="1:10" ht="16.5" x14ac:dyDescent="0.3">
      <c r="A2" s="4"/>
      <c r="B2" s="5"/>
      <c r="C2" s="45"/>
      <c r="D2" s="5"/>
      <c r="E2" s="5"/>
      <c r="F2" s="5" t="s">
        <v>171</v>
      </c>
      <c r="G2" s="5"/>
      <c r="H2" s="5"/>
      <c r="I2" s="6" t="s">
        <v>173</v>
      </c>
      <c r="J2" s="2"/>
    </row>
    <row r="3" spans="1:10" ht="69.75" customHeight="1" x14ac:dyDescent="0.25">
      <c r="A3" s="36" t="s">
        <v>183</v>
      </c>
      <c r="B3" s="16" t="s">
        <v>184</v>
      </c>
      <c r="C3" s="43" t="s">
        <v>185</v>
      </c>
      <c r="D3" s="43" t="s">
        <v>203</v>
      </c>
      <c r="E3" s="43" t="s">
        <v>187</v>
      </c>
      <c r="F3" s="46" t="s">
        <v>188</v>
      </c>
      <c r="G3" s="43" t="s">
        <v>189</v>
      </c>
      <c r="H3" s="43" t="s">
        <v>190</v>
      </c>
      <c r="I3" s="47" t="s">
        <v>191</v>
      </c>
      <c r="J3" s="16"/>
    </row>
    <row r="4" spans="1:10" ht="16.5" x14ac:dyDescent="0.3">
      <c r="A4" s="4" t="s">
        <v>56</v>
      </c>
      <c r="B4" s="5" t="s">
        <v>193</v>
      </c>
      <c r="C4" s="45">
        <v>8.76</v>
      </c>
      <c r="D4" s="37">
        <v>0</v>
      </c>
      <c r="E4" s="37">
        <v>0</v>
      </c>
      <c r="F4" s="12">
        <v>0</v>
      </c>
      <c r="G4" s="37">
        <v>1.2359209471864601</v>
      </c>
      <c r="H4" s="37">
        <v>7.1879623380373001E-2</v>
      </c>
      <c r="I4" s="13">
        <v>11.456332998165456</v>
      </c>
      <c r="J4" s="2"/>
    </row>
    <row r="5" spans="1:10" ht="16.5" x14ac:dyDescent="0.3">
      <c r="A5" s="7" t="s">
        <v>194</v>
      </c>
      <c r="B5" s="2" t="s">
        <v>193</v>
      </c>
      <c r="C5" s="11">
        <v>2.7</v>
      </c>
      <c r="D5" s="57">
        <v>0</v>
      </c>
      <c r="E5" s="57">
        <v>0</v>
      </c>
      <c r="F5" s="12">
        <v>0</v>
      </c>
      <c r="G5" s="57">
        <v>8.6244365766503908</v>
      </c>
      <c r="H5" s="57">
        <v>1.16397464519216</v>
      </c>
      <c r="I5" s="13">
        <v>26.428710298974892</v>
      </c>
      <c r="J5" s="96">
        <v>1.0612865559876243</v>
      </c>
    </row>
    <row r="6" spans="1:10" ht="16.5" x14ac:dyDescent="0.3">
      <c r="A6" s="7" t="s">
        <v>58</v>
      </c>
      <c r="B6" s="2" t="s">
        <v>193</v>
      </c>
      <c r="C6" s="11">
        <v>3.24</v>
      </c>
      <c r="D6" s="57">
        <v>0.29377931116845402</v>
      </c>
      <c r="E6" s="57">
        <v>3.3778267840071999E-2</v>
      </c>
      <c r="F6" s="12">
        <v>1.0612865559876243</v>
      </c>
      <c r="G6" s="57">
        <v>3.6519413209689802</v>
      </c>
      <c r="H6" s="57">
        <v>0.64600860840964303</v>
      </c>
      <c r="I6" s="13">
        <v>13.925357771186739</v>
      </c>
      <c r="J6" s="96">
        <v>539.88503737160249</v>
      </c>
    </row>
    <row r="7" spans="1:10" ht="16.5" x14ac:dyDescent="0.3">
      <c r="A7" s="7" t="s">
        <v>53</v>
      </c>
      <c r="B7" s="2" t="s">
        <v>193</v>
      </c>
      <c r="C7" s="11">
        <v>13.77</v>
      </c>
      <c r="D7" s="57">
        <v>0</v>
      </c>
      <c r="E7" s="57">
        <v>0</v>
      </c>
      <c r="F7" s="12">
        <v>0</v>
      </c>
      <c r="G7" s="57">
        <v>4.4925290194678702</v>
      </c>
      <c r="H7" s="57">
        <v>0.171312188465577</v>
      </c>
      <c r="I7" s="13">
        <v>64.221093433243567</v>
      </c>
      <c r="J7" s="96">
        <v>538.82375081561486</v>
      </c>
    </row>
    <row r="8" spans="1:10" ht="16.5" x14ac:dyDescent="0.3">
      <c r="A8" s="7" t="s">
        <v>54</v>
      </c>
      <c r="B8" s="2" t="s">
        <v>193</v>
      </c>
      <c r="C8" s="11">
        <v>24.62</v>
      </c>
      <c r="D8" s="57">
        <v>0</v>
      </c>
      <c r="E8" s="57">
        <v>0</v>
      </c>
      <c r="F8" s="12">
        <v>0</v>
      </c>
      <c r="G8" s="57">
        <v>4.5082506241216302</v>
      </c>
      <c r="H8" s="57">
        <v>0.17253132396936899</v>
      </c>
      <c r="I8" s="13">
        <v>115.2408515620004</v>
      </c>
      <c r="J8" s="2"/>
    </row>
    <row r="9" spans="1:10" ht="16.5" x14ac:dyDescent="0.3">
      <c r="A9" s="7" t="s">
        <v>55</v>
      </c>
      <c r="B9" s="2" t="s">
        <v>193</v>
      </c>
      <c r="C9" s="11">
        <v>66.16</v>
      </c>
      <c r="D9" s="62">
        <v>0</v>
      </c>
      <c r="E9" s="62">
        <v>0</v>
      </c>
      <c r="F9" s="12">
        <v>0</v>
      </c>
      <c r="G9" s="57">
        <v>4.4925866900188502</v>
      </c>
      <c r="H9" s="57">
        <v>0.17205495611221899</v>
      </c>
      <c r="I9" s="13">
        <v>308.61269130803151</v>
      </c>
      <c r="J9" s="2"/>
    </row>
    <row r="10" spans="1:10" ht="16.5" x14ac:dyDescent="0.3">
      <c r="A10" s="52"/>
      <c r="B10" s="53"/>
      <c r="C10" s="54"/>
      <c r="D10" s="87"/>
      <c r="E10" s="87"/>
      <c r="F10" s="55"/>
      <c r="G10" s="54"/>
      <c r="H10" s="54"/>
      <c r="I10" s="56"/>
      <c r="J10" s="2"/>
    </row>
    <row r="11" spans="1:10" ht="16.5" x14ac:dyDescent="0.3">
      <c r="A11" s="4"/>
      <c r="B11" s="5"/>
      <c r="C11" s="45"/>
      <c r="D11" s="45"/>
      <c r="E11" s="45"/>
      <c r="F11" s="5"/>
      <c r="G11" s="45"/>
      <c r="H11" s="45"/>
      <c r="I11" s="6"/>
      <c r="J11" s="2"/>
    </row>
    <row r="12" spans="1:10" ht="16.5" x14ac:dyDescent="0.3">
      <c r="A12" s="7"/>
      <c r="B12" s="2"/>
      <c r="C12" s="11"/>
      <c r="D12" s="11"/>
      <c r="E12" s="40" t="s">
        <v>204</v>
      </c>
      <c r="F12" s="88">
        <v>3.8913840386212892</v>
      </c>
      <c r="G12" s="2"/>
      <c r="H12" s="40" t="s">
        <v>197</v>
      </c>
      <c r="I12" s="38">
        <v>1979.5784703625425</v>
      </c>
      <c r="J12" s="2"/>
    </row>
    <row r="13" spans="1:10" ht="16.5" x14ac:dyDescent="0.3">
      <c r="A13" s="7"/>
      <c r="B13" s="2"/>
      <c r="C13" s="11"/>
      <c r="D13" s="11"/>
      <c r="E13" s="40" t="s">
        <v>198</v>
      </c>
      <c r="F13" s="2"/>
      <c r="G13" s="11"/>
      <c r="H13" s="40" t="s">
        <v>199</v>
      </c>
      <c r="I13" s="8"/>
      <c r="J13" s="2"/>
    </row>
    <row r="14" spans="1:10" ht="16.5" x14ac:dyDescent="0.3">
      <c r="A14" s="7"/>
      <c r="B14" s="2"/>
      <c r="C14" s="11"/>
      <c r="D14" s="11"/>
      <c r="E14" s="11"/>
      <c r="F14" s="2"/>
      <c r="G14" s="11"/>
      <c r="H14" s="40"/>
      <c r="I14" s="38"/>
      <c r="J14" s="2"/>
    </row>
    <row r="15" spans="1:10" ht="16.5" x14ac:dyDescent="0.3">
      <c r="A15" s="7"/>
      <c r="B15" s="2"/>
      <c r="C15" s="11"/>
      <c r="D15" s="11"/>
      <c r="E15" s="40" t="s">
        <v>200</v>
      </c>
      <c r="F15" s="2"/>
      <c r="G15" s="11"/>
      <c r="H15" s="11"/>
      <c r="I15" s="38">
        <v>1975.6870863239212</v>
      </c>
      <c r="J15" s="2"/>
    </row>
    <row r="16" spans="1:10" ht="16.5" x14ac:dyDescent="0.3">
      <c r="A16" s="9"/>
      <c r="B16" s="10"/>
      <c r="C16" s="41"/>
      <c r="D16" s="41"/>
      <c r="E16" s="41"/>
      <c r="F16" s="10"/>
      <c r="G16" s="41"/>
      <c r="H16" s="41"/>
      <c r="I16" s="39"/>
      <c r="J16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2:J18"/>
  <sheetViews>
    <sheetView workbookViewId="0">
      <selection activeCell="K21" sqref="K21"/>
    </sheetView>
  </sheetViews>
  <sheetFormatPr defaultColWidth="9" defaultRowHeight="16.5" x14ac:dyDescent="0.3"/>
  <cols>
    <col min="1" max="1" width="12" style="2" customWidth="1"/>
    <col min="2" max="2" width="41.140625" style="2" bestFit="1" customWidth="1"/>
    <col min="3" max="5" width="14.42578125" style="11" customWidth="1"/>
    <col min="6" max="6" width="15" style="11" bestFit="1" customWidth="1"/>
    <col min="7" max="7" width="14.42578125" style="11" customWidth="1"/>
    <col min="8" max="8" width="6" style="2" bestFit="1" customWidth="1"/>
    <col min="9" max="16384" width="9" style="2"/>
  </cols>
  <sheetData>
    <row r="2" spans="1:10" x14ac:dyDescent="0.3">
      <c r="A2" s="64" t="s">
        <v>205</v>
      </c>
    </row>
    <row r="3" spans="1:10" x14ac:dyDescent="0.3">
      <c r="A3" s="4"/>
      <c r="B3" s="5"/>
      <c r="C3" s="45"/>
      <c r="D3" s="5"/>
      <c r="E3" s="5"/>
      <c r="F3" s="5"/>
      <c r="G3" s="6"/>
    </row>
    <row r="4" spans="1:10" s="16" customFormat="1" ht="54" x14ac:dyDescent="0.3">
      <c r="A4" s="36" t="s">
        <v>183</v>
      </c>
      <c r="B4" s="16" t="s">
        <v>184</v>
      </c>
      <c r="C4" s="43" t="s">
        <v>185</v>
      </c>
      <c r="D4" s="43" t="s">
        <v>206</v>
      </c>
      <c r="E4" s="43" t="s">
        <v>207</v>
      </c>
      <c r="F4" s="43" t="s">
        <v>208</v>
      </c>
      <c r="G4" s="44" t="s">
        <v>209</v>
      </c>
      <c r="I4" s="2"/>
      <c r="J4" s="2"/>
    </row>
    <row r="5" spans="1:10" x14ac:dyDescent="0.3">
      <c r="A5" s="4" t="s">
        <v>56</v>
      </c>
      <c r="B5" s="5" t="s">
        <v>193</v>
      </c>
      <c r="C5" s="45">
        <f>'CEA Attributes'!F5</f>
        <v>8.76</v>
      </c>
      <c r="D5" s="37">
        <f>JIN_CEA_01!G25</f>
        <v>0</v>
      </c>
      <c r="E5" s="37">
        <f>D5*C5</f>
        <v>0</v>
      </c>
      <c r="F5" s="37">
        <f>JIN_CEA_01!H25</f>
        <v>0</v>
      </c>
      <c r="G5" s="58">
        <f>F5*C5</f>
        <v>0</v>
      </c>
    </row>
    <row r="6" spans="1:10" x14ac:dyDescent="0.3">
      <c r="A6" s="7" t="s">
        <v>194</v>
      </c>
      <c r="B6" s="2" t="s">
        <v>193</v>
      </c>
      <c r="C6" s="11">
        <f>'CEA Attributes'!G5</f>
        <v>2.7</v>
      </c>
      <c r="D6" s="57">
        <f>HID_CEA_01!G124</f>
        <v>2.1069867726668998E-2</v>
      </c>
      <c r="E6" s="57">
        <f t="shared" ref="E6:E10" si="0">D6*C6</f>
        <v>5.6888642862006296E-2</v>
      </c>
      <c r="F6" s="128">
        <f>HID_CEA_01!H124</f>
        <v>3.8949991589200001E-4</v>
      </c>
      <c r="G6" s="130">
        <f>F6*C6</f>
        <v>1.0516497729084E-3</v>
      </c>
    </row>
    <row r="7" spans="1:10" x14ac:dyDescent="0.3">
      <c r="A7" s="7" t="s">
        <v>58</v>
      </c>
      <c r="B7" s="2" t="s">
        <v>193</v>
      </c>
      <c r="C7" s="11">
        <f>'CEA Attributes'!H5</f>
        <v>3.24</v>
      </c>
      <c r="D7" s="57">
        <f>LIS_CEA_01!G80</f>
        <v>0</v>
      </c>
      <c r="E7" s="57">
        <f t="shared" si="0"/>
        <v>0</v>
      </c>
      <c r="F7" s="57">
        <f>LIS_CEA_01!H80</f>
        <v>0</v>
      </c>
      <c r="G7" s="38">
        <f t="shared" ref="G7:G10" si="1">F7*C7</f>
        <v>0</v>
      </c>
    </row>
    <row r="8" spans="1:10" x14ac:dyDescent="0.3">
      <c r="A8" s="7" t="s">
        <v>53</v>
      </c>
      <c r="B8" s="2" t="s">
        <v>193</v>
      </c>
      <c r="C8" s="11">
        <f>'CEA Attributes'!C5</f>
        <v>13.77</v>
      </c>
      <c r="D8" s="57">
        <f>STE_CEA_01!G21</f>
        <v>0</v>
      </c>
      <c r="E8" s="57">
        <f t="shared" si="0"/>
        <v>0</v>
      </c>
      <c r="F8" s="57">
        <f>STE_CEA_01!H21</f>
        <v>0</v>
      </c>
      <c r="G8" s="38">
        <f t="shared" si="1"/>
        <v>0</v>
      </c>
    </row>
    <row r="9" spans="1:10" x14ac:dyDescent="0.3">
      <c r="A9" s="7" t="s">
        <v>54</v>
      </c>
      <c r="B9" s="2" t="s">
        <v>193</v>
      </c>
      <c r="C9" s="11">
        <f>'CEA Attributes'!D5</f>
        <v>24.62</v>
      </c>
      <c r="D9" s="57">
        <f>STE_CEA_02!G24</f>
        <v>0</v>
      </c>
      <c r="E9" s="57">
        <f t="shared" si="0"/>
        <v>0</v>
      </c>
      <c r="F9" s="57">
        <f>STE_CEA_02!H24</f>
        <v>0</v>
      </c>
      <c r="G9" s="38">
        <f t="shared" si="1"/>
        <v>0</v>
      </c>
    </row>
    <row r="10" spans="1:10" x14ac:dyDescent="0.3">
      <c r="A10" s="7" t="s">
        <v>55</v>
      </c>
      <c r="B10" s="2" t="s">
        <v>193</v>
      </c>
      <c r="C10" s="11">
        <f>'CEA Attributes'!E5</f>
        <v>66.16</v>
      </c>
      <c r="D10" s="57">
        <f>STE_CEA_03!G24</f>
        <v>0</v>
      </c>
      <c r="E10" s="57">
        <f t="shared" si="0"/>
        <v>0</v>
      </c>
      <c r="F10" s="57">
        <f>STE_CEA_03!H24</f>
        <v>0</v>
      </c>
      <c r="G10" s="38">
        <f t="shared" si="1"/>
        <v>0</v>
      </c>
    </row>
    <row r="11" spans="1:10" x14ac:dyDescent="0.3">
      <c r="A11" s="52"/>
      <c r="B11" s="53"/>
      <c r="C11" s="54"/>
      <c r="D11" s="54"/>
      <c r="E11" s="54"/>
      <c r="F11" s="54"/>
      <c r="G11" s="60"/>
    </row>
    <row r="12" spans="1:10" x14ac:dyDescent="0.3">
      <c r="A12" s="4"/>
      <c r="B12" s="5"/>
      <c r="C12" s="45"/>
      <c r="D12" s="45"/>
      <c r="E12" s="45"/>
      <c r="F12" s="45"/>
      <c r="G12" s="61"/>
    </row>
    <row r="13" spans="1:10" ht="18" x14ac:dyDescent="0.35">
      <c r="A13" s="7"/>
      <c r="B13" s="40"/>
      <c r="D13" s="40" t="s">
        <v>210</v>
      </c>
      <c r="E13" s="11">
        <v>28</v>
      </c>
      <c r="F13" s="40" t="s">
        <v>211</v>
      </c>
      <c r="G13" s="59">
        <v>265</v>
      </c>
      <c r="I13" s="2" t="s">
        <v>212</v>
      </c>
    </row>
    <row r="14" spans="1:10" x14ac:dyDescent="0.3">
      <c r="A14" s="7"/>
      <c r="B14" s="11"/>
      <c r="G14" s="59"/>
    </row>
    <row r="15" spans="1:10" x14ac:dyDescent="0.3">
      <c r="A15" s="7"/>
      <c r="B15" s="11"/>
      <c r="D15" s="11" t="s">
        <v>213</v>
      </c>
      <c r="E15" s="127">
        <f>SUM(E5:E11)*E13</f>
        <v>1.5928820001361763</v>
      </c>
      <c r="F15" s="11" t="s">
        <v>214</v>
      </c>
      <c r="G15" s="38">
        <f>SUM(G5:G11)*G13/1000</f>
        <v>2.7868718982072599E-4</v>
      </c>
    </row>
    <row r="16" spans="1:10" x14ac:dyDescent="0.3">
      <c r="A16" s="7"/>
      <c r="G16" s="59"/>
    </row>
    <row r="17" spans="1:7" x14ac:dyDescent="0.3">
      <c r="A17" s="7"/>
      <c r="F17" s="11" t="s">
        <v>215</v>
      </c>
      <c r="G17" s="129">
        <f>G15+E15</f>
        <v>1.5931606873259971</v>
      </c>
    </row>
    <row r="18" spans="1:7" x14ac:dyDescent="0.3">
      <c r="A18" s="9"/>
      <c r="B18" s="10"/>
      <c r="C18" s="41"/>
      <c r="D18" s="41"/>
      <c r="E18" s="41"/>
      <c r="F18" s="41"/>
      <c r="G18" s="42"/>
    </row>
  </sheetData>
  <pageMargins left="0.70866141732283472" right="0.70866141732283472" top="0.74803149606299213" bottom="0.74803149606299213" header="0.31496062992125984" footer="0.31496062992125984"/>
  <pageSetup paperSize="9" scale="9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"/>
  <sheetViews>
    <sheetView workbookViewId="0">
      <selection activeCell="S37" sqref="S37"/>
    </sheetView>
  </sheetViews>
  <sheetFormatPr defaultRowHeight="15" x14ac:dyDescent="0.25"/>
  <sheetData/>
  <pageMargins left="0.70866141732283472" right="0.70866141732283472" top="0.74803149606299213" bottom="0.74803149606299213" header="0.31496062992125984" footer="0.31496062992125984"/>
  <pageSetup paperSize="9" scale="8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2:F51"/>
  <sheetViews>
    <sheetView topLeftCell="A16" workbookViewId="0">
      <selection activeCell="C26" sqref="C26"/>
    </sheetView>
  </sheetViews>
  <sheetFormatPr defaultColWidth="9" defaultRowHeight="16.5" x14ac:dyDescent="0.3"/>
  <cols>
    <col min="1" max="1" width="14.7109375" style="2" customWidth="1"/>
    <col min="2" max="2" width="40.28515625" style="2" customWidth="1"/>
    <col min="3" max="3" width="19.42578125" style="2" customWidth="1"/>
    <col min="4" max="6" width="13.5703125" style="2" customWidth="1"/>
    <col min="7" max="16384" width="9" style="2"/>
  </cols>
  <sheetData>
    <row r="2" spans="1:4" x14ac:dyDescent="0.3">
      <c r="A2" s="64" t="s">
        <v>216</v>
      </c>
    </row>
    <row r="4" spans="1:4" x14ac:dyDescent="0.3">
      <c r="B4" s="64" t="s">
        <v>217</v>
      </c>
    </row>
    <row r="5" spans="1:4" x14ac:dyDescent="0.3">
      <c r="B5" s="69" t="s">
        <v>218</v>
      </c>
      <c r="D5" s="2">
        <v>2</v>
      </c>
    </row>
    <row r="6" spans="1:4" x14ac:dyDescent="0.3">
      <c r="B6" s="69" t="s">
        <v>219</v>
      </c>
      <c r="D6" s="40" t="s">
        <v>220</v>
      </c>
    </row>
    <row r="7" spans="1:4" x14ac:dyDescent="0.3">
      <c r="B7" s="69" t="s">
        <v>221</v>
      </c>
      <c r="D7" s="2">
        <v>15</v>
      </c>
    </row>
    <row r="8" spans="1:4" x14ac:dyDescent="0.3">
      <c r="B8" s="69" t="s">
        <v>222</v>
      </c>
      <c r="D8" s="2">
        <v>0.5</v>
      </c>
    </row>
    <row r="9" spans="1:4" x14ac:dyDescent="0.3">
      <c r="B9" s="69" t="s">
        <v>223</v>
      </c>
      <c r="D9" s="2">
        <f>SUM('CEA Attributes'!C5:H5)</f>
        <v>119.25</v>
      </c>
    </row>
    <row r="10" spans="1:4" x14ac:dyDescent="0.3">
      <c r="B10" s="69" t="s">
        <v>224</v>
      </c>
      <c r="D10" s="2">
        <v>1</v>
      </c>
    </row>
    <row r="12" spans="1:4" x14ac:dyDescent="0.3">
      <c r="B12" s="64" t="s">
        <v>225</v>
      </c>
    </row>
    <row r="13" spans="1:4" x14ac:dyDescent="0.3">
      <c r="B13" s="69" t="s">
        <v>226</v>
      </c>
      <c r="D13" s="2">
        <v>4</v>
      </c>
    </row>
    <row r="14" spans="1:4" x14ac:dyDescent="0.3">
      <c r="B14" s="69" t="s">
        <v>227</v>
      </c>
      <c r="D14" s="2">
        <v>200</v>
      </c>
    </row>
    <row r="15" spans="1:4" x14ac:dyDescent="0.3">
      <c r="B15" s="69" t="s">
        <v>228</v>
      </c>
      <c r="D15" s="2">
        <v>10</v>
      </c>
    </row>
    <row r="16" spans="1:4" x14ac:dyDescent="0.3">
      <c r="B16" s="69" t="s">
        <v>229</v>
      </c>
      <c r="D16" s="2">
        <f>D14/D15</f>
        <v>20</v>
      </c>
    </row>
    <row r="17" spans="2:6" x14ac:dyDescent="0.3">
      <c r="B17" s="69" t="s">
        <v>224</v>
      </c>
      <c r="D17" s="2">
        <v>1</v>
      </c>
    </row>
    <row r="19" spans="2:6" x14ac:dyDescent="0.3">
      <c r="B19" s="2" t="s">
        <v>230</v>
      </c>
      <c r="D19" s="70">
        <f>D9*D8*D7*D5*D10/1000</f>
        <v>1.7887500000000001</v>
      </c>
    </row>
    <row r="20" spans="2:6" x14ac:dyDescent="0.3">
      <c r="B20" s="2" t="s">
        <v>231</v>
      </c>
      <c r="D20" s="71">
        <f>(D16*D13*D17)/1000</f>
        <v>0.08</v>
      </c>
    </row>
    <row r="22" spans="2:6" x14ac:dyDescent="0.3">
      <c r="B22" s="2" t="s">
        <v>232</v>
      </c>
    </row>
    <row r="24" spans="2:6" x14ac:dyDescent="0.3">
      <c r="C24" s="2" t="s">
        <v>233</v>
      </c>
    </row>
    <row r="25" spans="2:6" x14ac:dyDescent="0.3">
      <c r="C25" s="11" t="s">
        <v>234</v>
      </c>
      <c r="D25" s="11" t="s">
        <v>235</v>
      </c>
      <c r="E25" s="11" t="s">
        <v>236</v>
      </c>
      <c r="F25" s="11" t="s">
        <v>237</v>
      </c>
    </row>
    <row r="26" spans="2:6" x14ac:dyDescent="0.3">
      <c r="B26" s="2" t="s">
        <v>238</v>
      </c>
      <c r="C26" s="49">
        <f>$D$19*$C$40*D40/1000</f>
        <v>4.8262979249999995</v>
      </c>
      <c r="D26" s="49">
        <f>$D$19*$C$40*E40/1000</f>
        <v>6.9045750000000005E-3</v>
      </c>
      <c r="E26" s="49">
        <f>$D$19*$C$40*F40/1000</f>
        <v>3.4522875000000001E-2</v>
      </c>
      <c r="F26" s="50">
        <f>SUM(C26:E26)</f>
        <v>4.867725375</v>
      </c>
    </row>
    <row r="27" spans="2:6" x14ac:dyDescent="0.3">
      <c r="B27" s="2" t="s">
        <v>239</v>
      </c>
      <c r="C27" s="49">
        <f>$D$20*$C$39*D39/1000</f>
        <v>0.18440640000000003</v>
      </c>
      <c r="D27" s="49">
        <f>$D$20*$C$39*E39/1000</f>
        <v>1.3680000000000001E-3</v>
      </c>
      <c r="E27" s="49">
        <f>$D$20*$C$39*F39/1000</f>
        <v>4.9248E-3</v>
      </c>
      <c r="F27" s="50">
        <f>SUM(C27:E27)</f>
        <v>0.19069920000000004</v>
      </c>
    </row>
    <row r="29" spans="2:6" x14ac:dyDescent="0.3">
      <c r="B29" s="2" t="s">
        <v>240</v>
      </c>
    </row>
    <row r="30" spans="2:6" x14ac:dyDescent="0.3">
      <c r="B30" s="2" t="s">
        <v>241</v>
      </c>
      <c r="E30" s="132">
        <f>F26+F27</f>
        <v>5.0584245750000001</v>
      </c>
      <c r="F30" s="2" t="s">
        <v>242</v>
      </c>
    </row>
    <row r="31" spans="2:6" x14ac:dyDescent="0.3">
      <c r="B31" s="2" t="s">
        <v>243</v>
      </c>
      <c r="E31" s="133">
        <v>25.295273724999998</v>
      </c>
      <c r="F31" s="2" t="s">
        <v>242</v>
      </c>
    </row>
    <row r="32" spans="2:6" x14ac:dyDescent="0.3">
      <c r="B32" s="2" t="s">
        <v>244</v>
      </c>
      <c r="E32" s="132">
        <f>E31+E30</f>
        <v>30.353698299999998</v>
      </c>
      <c r="F32" s="2" t="s">
        <v>242</v>
      </c>
    </row>
    <row r="33" spans="1:6" ht="17.25" thickBot="1" x14ac:dyDescent="0.35"/>
    <row r="34" spans="1:6" ht="26.25" customHeight="1" thickTop="1" thickBot="1" x14ac:dyDescent="0.35">
      <c r="A34" s="154" t="s">
        <v>245</v>
      </c>
      <c r="B34" s="154"/>
      <c r="C34" s="154"/>
      <c r="D34" s="154"/>
      <c r="E34" s="154"/>
      <c r="F34" s="154"/>
    </row>
    <row r="35" spans="1:6" ht="17.25" thickTop="1" x14ac:dyDescent="0.3">
      <c r="A35" s="14" t="s">
        <v>2</v>
      </c>
      <c r="B35" s="14" t="s">
        <v>246</v>
      </c>
      <c r="C35" s="14" t="s">
        <v>247</v>
      </c>
      <c r="D35" s="155" t="s">
        <v>248</v>
      </c>
      <c r="E35" s="155"/>
      <c r="F35" s="155"/>
    </row>
    <row r="36" spans="1:6" ht="25.5" x14ac:dyDescent="0.3">
      <c r="A36" s="15"/>
      <c r="B36" s="15"/>
      <c r="C36" s="15" t="s">
        <v>249</v>
      </c>
      <c r="D36" s="156" t="s">
        <v>250</v>
      </c>
      <c r="E36" s="156"/>
      <c r="F36" s="156"/>
    </row>
    <row r="37" spans="1:6" ht="17.25" thickBot="1" x14ac:dyDescent="0.35">
      <c r="A37" s="15"/>
      <c r="B37" s="15"/>
      <c r="C37" s="16"/>
      <c r="D37" s="157" t="s">
        <v>251</v>
      </c>
      <c r="E37" s="157"/>
      <c r="F37" s="157"/>
    </row>
    <row r="38" spans="1:6" ht="17.25" thickBot="1" x14ac:dyDescent="0.35">
      <c r="A38" s="17"/>
      <c r="B38" s="101"/>
      <c r="C38" s="18"/>
      <c r="D38" s="51" t="s">
        <v>252</v>
      </c>
      <c r="E38" s="51" t="s">
        <v>253</v>
      </c>
      <c r="F38" s="51" t="s">
        <v>254</v>
      </c>
    </row>
    <row r="39" spans="1:6" x14ac:dyDescent="0.3">
      <c r="A39" s="19">
        <v>35</v>
      </c>
      <c r="B39" s="20" t="s">
        <v>255</v>
      </c>
      <c r="C39" s="102">
        <v>34.200000000000003</v>
      </c>
      <c r="D39" s="102">
        <v>67.400000000000006</v>
      </c>
      <c r="E39" s="102">
        <v>0.5</v>
      </c>
      <c r="F39" s="102">
        <v>1.8</v>
      </c>
    </row>
    <row r="40" spans="1:6" ht="17.25" thickBot="1" x14ac:dyDescent="0.35">
      <c r="A40" s="21">
        <v>40</v>
      </c>
      <c r="B40" s="22" t="s">
        <v>256</v>
      </c>
      <c r="C40" s="104">
        <v>38.6</v>
      </c>
      <c r="D40" s="104">
        <v>69.900000000000006</v>
      </c>
      <c r="E40" s="104">
        <v>0.1</v>
      </c>
      <c r="F40" s="104">
        <v>0.5</v>
      </c>
    </row>
    <row r="43" spans="1:6" x14ac:dyDescent="0.3">
      <c r="A43" s="2" t="s">
        <v>257</v>
      </c>
    </row>
    <row r="44" spans="1:6" ht="33" x14ac:dyDescent="0.3">
      <c r="A44" s="91" t="s">
        <v>183</v>
      </c>
      <c r="B44" s="92" t="s">
        <v>184</v>
      </c>
      <c r="C44" s="93" t="s">
        <v>185</v>
      </c>
      <c r="D44" s="93" t="s">
        <v>258</v>
      </c>
    </row>
    <row r="45" spans="1:6" x14ac:dyDescent="0.3">
      <c r="A45" s="45" t="str">
        <f>'Abatement - Report 3'!A5</f>
        <v>JIN_CEA_01</v>
      </c>
      <c r="B45" s="45" t="str">
        <f>'Abatement - Report 3'!B5</f>
        <v>Mixed species environmental planting - temperate</v>
      </c>
      <c r="C45" s="45">
        <f>'Abatement - Report 3'!C5</f>
        <v>8.76</v>
      </c>
      <c r="D45" s="57">
        <f t="shared" ref="D45:D49" si="0">C45/$C$51*$E$30</f>
        <v>0.37158741532075468</v>
      </c>
    </row>
    <row r="46" spans="1:6" x14ac:dyDescent="0.3">
      <c r="A46" s="11" t="str">
        <f>'Abatement - Report 3'!A6</f>
        <v>HID_CEA_01</v>
      </c>
      <c r="B46" s="11" t="str">
        <f>'Abatement - Report 3'!B6</f>
        <v>Mixed species environmental planting - temperate</v>
      </c>
      <c r="C46" s="11">
        <f>'Abatement - Report 3'!C6</f>
        <v>2.7</v>
      </c>
      <c r="D46" s="57">
        <f t="shared" si="0"/>
        <v>0.11453036773584907</v>
      </c>
    </row>
    <row r="47" spans="1:6" x14ac:dyDescent="0.3">
      <c r="A47" s="11" t="str">
        <f>'Abatement - Report 3'!A7</f>
        <v>LIS_CEA_01</v>
      </c>
      <c r="B47" s="11" t="str">
        <f>'Abatement - Report 3'!B7</f>
        <v>Mixed species environmental planting - temperate</v>
      </c>
      <c r="C47" s="11">
        <f>'Abatement - Report 3'!C7</f>
        <v>3.24</v>
      </c>
      <c r="D47" s="57">
        <f t="shared" si="0"/>
        <v>0.13743644128301888</v>
      </c>
    </row>
    <row r="48" spans="1:6" x14ac:dyDescent="0.3">
      <c r="A48" s="11" t="str">
        <f>'Abatement - Report 3'!A8</f>
        <v>STE_CEA_01</v>
      </c>
      <c r="B48" s="11" t="str">
        <f>'Abatement - Report 3'!B8</f>
        <v>Mixed species environmental planting - temperate</v>
      </c>
      <c r="C48" s="11">
        <f>'Abatement - Report 3'!C8</f>
        <v>13.77</v>
      </c>
      <c r="D48" s="57">
        <f t="shared" si="0"/>
        <v>0.58410487545283019</v>
      </c>
    </row>
    <row r="49" spans="1:4" x14ac:dyDescent="0.3">
      <c r="A49" s="11" t="str">
        <f>'Abatement - Report 3'!A9</f>
        <v>STE_CEA_02</v>
      </c>
      <c r="B49" s="11" t="str">
        <f>'Abatement - Report 3'!B9</f>
        <v>Mixed species environmental planting - temperate</v>
      </c>
      <c r="C49" s="11">
        <f>'Abatement - Report 3'!C9</f>
        <v>24.62</v>
      </c>
      <c r="D49" s="57">
        <f t="shared" si="0"/>
        <v>1.0443472791320756</v>
      </c>
    </row>
    <row r="50" spans="1:4" x14ac:dyDescent="0.3">
      <c r="A50" s="41" t="str">
        <f>'Abatement - Report 3'!A10</f>
        <v>STE_CEA_03</v>
      </c>
      <c r="B50" s="41" t="str">
        <f>'Abatement - Report 3'!B10</f>
        <v>Mixed species environmental planting - temperate</v>
      </c>
      <c r="C50" s="41">
        <f>'Abatement - Report 3'!C10</f>
        <v>66.16</v>
      </c>
      <c r="D50" s="57">
        <f>C50/$C$51*$E$30</f>
        <v>2.8064181960754713</v>
      </c>
    </row>
    <row r="51" spans="1:4" x14ac:dyDescent="0.3">
      <c r="A51" s="91" t="s">
        <v>259</v>
      </c>
      <c r="B51" s="92"/>
      <c r="C51" s="93">
        <f>SUM(C45:C50)</f>
        <v>119.25</v>
      </c>
      <c r="D51" s="94">
        <f>SUM(D45:D50)</f>
        <v>5.0584245750000001</v>
      </c>
    </row>
  </sheetData>
  <mergeCells count="4">
    <mergeCell ref="A34:F34"/>
    <mergeCell ref="D35:F35"/>
    <mergeCell ref="D36:F36"/>
    <mergeCell ref="D37:F37"/>
  </mergeCells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8:R315"/>
  <sheetViews>
    <sheetView zoomScale="69" zoomScaleNormal="60" workbookViewId="0">
      <selection activeCell="A127" sqref="A127:I127"/>
    </sheetView>
  </sheetViews>
  <sheetFormatPr defaultColWidth="9" defaultRowHeight="16.5" x14ac:dyDescent="0.3"/>
  <cols>
    <col min="1" max="1" width="73" bestFit="1" customWidth="1"/>
    <col min="2" max="2" width="6.85546875" bestFit="1" customWidth="1"/>
    <col min="3" max="3" width="4.28515625" bestFit="1" customWidth="1"/>
    <col min="4" max="4" width="9.140625"/>
    <col min="5" max="5" width="18.7109375" customWidth="1"/>
    <col min="6" max="6" width="21.42578125" bestFit="1" customWidth="1"/>
    <col min="7" max="7" width="22.140625" bestFit="1" customWidth="1"/>
    <col min="8" max="8" width="22.5703125" bestFit="1" customWidth="1"/>
    <col min="9" max="9" width="21.140625" style="11" bestFit="1" customWidth="1"/>
    <col min="10" max="10" width="11.140625" style="11" customWidth="1"/>
    <col min="11" max="11" width="8.85546875" style="2" customWidth="1"/>
    <col min="12" max="12" width="6" style="2" bestFit="1" customWidth="1"/>
    <col min="13" max="13" width="11.85546875" style="2" bestFit="1" customWidth="1"/>
    <col min="14" max="14" width="5" style="2" bestFit="1" customWidth="1"/>
    <col min="15" max="15" width="13.28515625" style="2" bestFit="1" customWidth="1"/>
    <col min="16" max="16" width="15.28515625" style="2" bestFit="1" customWidth="1"/>
    <col min="17" max="17" width="19" style="2" bestFit="1" customWidth="1"/>
    <col min="18" max="18" width="19.5703125" style="2" bestFit="1" customWidth="1"/>
    <col min="19" max="16384" width="9" style="2"/>
  </cols>
  <sheetData>
    <row r="8" spans="1:9" x14ac:dyDescent="0.3">
      <c r="A8" t="s">
        <v>260</v>
      </c>
      <c r="B8" t="s">
        <v>261</v>
      </c>
      <c r="C8" t="s">
        <v>262</v>
      </c>
      <c r="D8" t="s">
        <v>263</v>
      </c>
      <c r="E8" t="s">
        <v>264</v>
      </c>
      <c r="F8" t="s">
        <v>265</v>
      </c>
      <c r="G8" t="s">
        <v>266</v>
      </c>
      <c r="H8" t="s">
        <v>267</v>
      </c>
      <c r="I8" s="72" t="s">
        <v>268</v>
      </c>
    </row>
    <row r="9" spans="1:9" x14ac:dyDescent="0.3">
      <c r="E9" t="s">
        <v>269</v>
      </c>
      <c r="F9" s="72" t="s">
        <v>269</v>
      </c>
      <c r="G9" t="s">
        <v>270</v>
      </c>
      <c r="H9" t="s">
        <v>271</v>
      </c>
      <c r="I9" s="72" t="s">
        <v>269</v>
      </c>
    </row>
    <row r="10" spans="1:9" x14ac:dyDescent="0.3">
      <c r="A10">
        <v>2015</v>
      </c>
      <c r="B10">
        <v>3</v>
      </c>
      <c r="C10">
        <v>31</v>
      </c>
      <c r="D10">
        <v>2015.2470000000001</v>
      </c>
      <c r="E10">
        <v>0</v>
      </c>
      <c r="F10">
        <v>0</v>
      </c>
      <c r="I10" s="72">
        <f>E10+F10</f>
        <v>0</v>
      </c>
    </row>
    <row r="11" spans="1:9" x14ac:dyDescent="0.3">
      <c r="A11">
        <v>2015</v>
      </c>
      <c r="B11">
        <v>4</v>
      </c>
      <c r="C11">
        <v>30</v>
      </c>
      <c r="D11">
        <v>2015.329</v>
      </c>
      <c r="E11">
        <v>0.29370000000000002</v>
      </c>
      <c r="F11">
        <v>3.665765898287E-3</v>
      </c>
      <c r="G11">
        <v>0</v>
      </c>
      <c r="H11">
        <v>0</v>
      </c>
      <c r="I11" s="72">
        <f t="shared" ref="I11:I74" si="0">E11+F11</f>
        <v>0.297365765898287</v>
      </c>
    </row>
    <row r="12" spans="1:9" x14ac:dyDescent="0.3">
      <c r="A12">
        <v>2015</v>
      </c>
      <c r="B12">
        <v>5</v>
      </c>
      <c r="C12">
        <v>31</v>
      </c>
      <c r="D12">
        <v>2015.414</v>
      </c>
      <c r="E12">
        <v>0.29370000000000002</v>
      </c>
      <c r="F12">
        <v>7.3045369921639998E-3</v>
      </c>
      <c r="G12">
        <v>0</v>
      </c>
      <c r="H12">
        <v>0</v>
      </c>
      <c r="I12" s="72">
        <f t="shared" si="0"/>
        <v>0.30100453699216401</v>
      </c>
    </row>
    <row r="13" spans="1:9" x14ac:dyDescent="0.3">
      <c r="A13">
        <v>2015</v>
      </c>
      <c r="B13">
        <v>6</v>
      </c>
      <c r="C13">
        <v>30</v>
      </c>
      <c r="D13">
        <v>2015.4960000000001</v>
      </c>
      <c r="E13">
        <v>0.29370000000000002</v>
      </c>
      <c r="F13">
        <v>1.0782672745697001E-2</v>
      </c>
      <c r="G13">
        <v>0</v>
      </c>
      <c r="H13">
        <v>0</v>
      </c>
      <c r="I13" s="72">
        <f t="shared" si="0"/>
        <v>0.30448267274569701</v>
      </c>
    </row>
    <row r="14" spans="1:9" x14ac:dyDescent="0.3">
      <c r="A14">
        <v>2015</v>
      </c>
      <c r="B14">
        <v>7</v>
      </c>
      <c r="C14">
        <v>31</v>
      </c>
      <c r="D14">
        <v>2015.5809999999999</v>
      </c>
      <c r="E14">
        <v>0.293701364803579</v>
      </c>
      <c r="F14">
        <v>1.4289592929512001E-2</v>
      </c>
      <c r="G14">
        <v>0</v>
      </c>
      <c r="H14">
        <v>0</v>
      </c>
      <c r="I14" s="72">
        <f t="shared" si="0"/>
        <v>0.30799095773309099</v>
      </c>
    </row>
    <row r="15" spans="1:9" x14ac:dyDescent="0.3">
      <c r="A15">
        <v>2015</v>
      </c>
      <c r="B15">
        <v>8</v>
      </c>
      <c r="C15">
        <v>31</v>
      </c>
      <c r="D15">
        <v>2015.6659999999999</v>
      </c>
      <c r="E15">
        <v>0.29371507892107002</v>
      </c>
      <c r="F15">
        <v>1.7777164297703998E-2</v>
      </c>
      <c r="G15">
        <v>0</v>
      </c>
      <c r="H15">
        <v>0</v>
      </c>
      <c r="I15" s="72">
        <f t="shared" si="0"/>
        <v>0.311492243218774</v>
      </c>
    </row>
    <row r="16" spans="1:9" x14ac:dyDescent="0.3">
      <c r="A16">
        <v>2015</v>
      </c>
      <c r="B16">
        <v>9</v>
      </c>
      <c r="C16">
        <v>30</v>
      </c>
      <c r="D16">
        <v>2015.748</v>
      </c>
      <c r="E16">
        <v>0.29378090506286902</v>
      </c>
      <c r="F16">
        <v>2.1049401447441999E-2</v>
      </c>
      <c r="G16">
        <v>0</v>
      </c>
      <c r="H16">
        <v>0</v>
      </c>
      <c r="I16" s="72">
        <f t="shared" si="0"/>
        <v>0.31483030651031102</v>
      </c>
    </row>
    <row r="17" spans="1:18" x14ac:dyDescent="0.3">
      <c r="A17">
        <v>2015</v>
      </c>
      <c r="B17">
        <v>10</v>
      </c>
      <c r="C17">
        <v>31</v>
      </c>
      <c r="D17">
        <v>2015.8330000000001</v>
      </c>
      <c r="E17">
        <v>0.29402843938949802</v>
      </c>
      <c r="F17">
        <v>2.4184590290101001E-2</v>
      </c>
      <c r="G17">
        <v>0</v>
      </c>
      <c r="H17">
        <v>0</v>
      </c>
      <c r="I17" s="72">
        <f t="shared" si="0"/>
        <v>0.31821302967959902</v>
      </c>
    </row>
    <row r="18" spans="1:18" x14ac:dyDescent="0.3">
      <c r="A18">
        <v>2015</v>
      </c>
      <c r="B18">
        <v>11</v>
      </c>
      <c r="C18">
        <v>30</v>
      </c>
      <c r="D18">
        <v>2015.915</v>
      </c>
      <c r="E18">
        <v>0.29562508224311501</v>
      </c>
      <c r="F18">
        <v>2.7181298018921999E-2</v>
      </c>
      <c r="G18">
        <v>0</v>
      </c>
      <c r="H18">
        <v>0</v>
      </c>
      <c r="I18" s="72">
        <f t="shared" si="0"/>
        <v>0.32280638026203701</v>
      </c>
    </row>
    <row r="19" spans="1:18" x14ac:dyDescent="0.3">
      <c r="A19">
        <v>2015</v>
      </c>
      <c r="B19">
        <v>12</v>
      </c>
      <c r="C19">
        <v>31</v>
      </c>
      <c r="D19">
        <v>2016</v>
      </c>
      <c r="E19">
        <v>0.30159133008880001</v>
      </c>
      <c r="F19">
        <v>3.0246213822725E-2</v>
      </c>
      <c r="G19">
        <v>0</v>
      </c>
      <c r="H19">
        <v>0</v>
      </c>
      <c r="I19" s="72">
        <f t="shared" si="0"/>
        <v>0.33183754391152503</v>
      </c>
    </row>
    <row r="20" spans="1:18" x14ac:dyDescent="0.3">
      <c r="A20">
        <v>2016</v>
      </c>
      <c r="B20">
        <v>1</v>
      </c>
      <c r="C20">
        <v>31</v>
      </c>
      <c r="D20">
        <v>2016.085</v>
      </c>
      <c r="E20">
        <v>0.32685638341301998</v>
      </c>
      <c r="F20">
        <v>3.3460150850739001E-2</v>
      </c>
      <c r="G20">
        <v>0</v>
      </c>
      <c r="H20">
        <v>0</v>
      </c>
      <c r="I20" s="72">
        <f t="shared" si="0"/>
        <v>0.36031653426375898</v>
      </c>
    </row>
    <row r="21" spans="1:18" x14ac:dyDescent="0.3">
      <c r="A21">
        <v>2016</v>
      </c>
      <c r="B21">
        <v>2</v>
      </c>
      <c r="C21">
        <v>29</v>
      </c>
      <c r="D21">
        <v>2016.164</v>
      </c>
      <c r="E21">
        <v>0.38228505613943797</v>
      </c>
      <c r="F21">
        <v>3.6944395507843002E-2</v>
      </c>
      <c r="G21">
        <v>0</v>
      </c>
      <c r="H21">
        <v>0</v>
      </c>
      <c r="I21" s="72">
        <f t="shared" si="0"/>
        <v>0.41922945164728098</v>
      </c>
    </row>
    <row r="22" spans="1:18" x14ac:dyDescent="0.3">
      <c r="A22">
        <v>2016</v>
      </c>
      <c r="B22">
        <v>3</v>
      </c>
      <c r="C22">
        <v>31</v>
      </c>
      <c r="D22">
        <v>2016.249</v>
      </c>
      <c r="E22">
        <v>0.50340810451344598</v>
      </c>
      <c r="F22">
        <v>4.1875086744400998E-2</v>
      </c>
      <c r="G22">
        <v>0</v>
      </c>
      <c r="H22">
        <v>0</v>
      </c>
      <c r="I22" s="72">
        <f t="shared" si="0"/>
        <v>0.54528319125784697</v>
      </c>
    </row>
    <row r="23" spans="1:18" x14ac:dyDescent="0.3">
      <c r="A23">
        <v>2016</v>
      </c>
      <c r="B23">
        <v>4</v>
      </c>
      <c r="C23">
        <v>30</v>
      </c>
      <c r="D23">
        <v>2016.3309999999999</v>
      </c>
      <c r="E23">
        <v>0.672824487014129</v>
      </c>
      <c r="F23">
        <v>4.8685630396386001E-2</v>
      </c>
      <c r="G23">
        <v>0</v>
      </c>
      <c r="H23">
        <v>0</v>
      </c>
      <c r="I23" s="72">
        <f t="shared" si="0"/>
        <v>0.72151011741051496</v>
      </c>
    </row>
    <row r="24" spans="1:18" x14ac:dyDescent="0.3">
      <c r="A24">
        <v>2016</v>
      </c>
      <c r="B24">
        <v>5</v>
      </c>
      <c r="C24">
        <v>31</v>
      </c>
      <c r="D24">
        <v>2016.415</v>
      </c>
      <c r="E24">
        <v>0.91569334064642205</v>
      </c>
      <c r="F24">
        <v>5.8544491308073002E-2</v>
      </c>
      <c r="G24">
        <v>0</v>
      </c>
      <c r="H24">
        <v>0</v>
      </c>
      <c r="I24" s="72">
        <f t="shared" si="0"/>
        <v>0.97423783195449509</v>
      </c>
    </row>
    <row r="25" spans="1:18" s="35" customFormat="1" x14ac:dyDescent="0.3">
      <c r="A25">
        <v>2016</v>
      </c>
      <c r="B25">
        <v>6</v>
      </c>
      <c r="C25">
        <v>30</v>
      </c>
      <c r="D25">
        <v>2016.4970000000001</v>
      </c>
      <c r="E25">
        <v>1.2288265610168501</v>
      </c>
      <c r="F25">
        <v>7.1686900162462E-2</v>
      </c>
      <c r="G25">
        <v>0</v>
      </c>
      <c r="H25">
        <v>0</v>
      </c>
      <c r="I25" s="106">
        <f t="shared" si="0"/>
        <v>1.3005134611793121</v>
      </c>
      <c r="J25" s="86"/>
    </row>
    <row r="26" spans="1:18" x14ac:dyDescent="0.3">
      <c r="A26">
        <v>2016</v>
      </c>
      <c r="B26">
        <v>7</v>
      </c>
      <c r="C26">
        <v>31</v>
      </c>
      <c r="D26">
        <v>2016.5820000000001</v>
      </c>
      <c r="E26">
        <v>1.6472107237772899</v>
      </c>
      <c r="F26">
        <v>8.9921673478250003E-2</v>
      </c>
      <c r="G26">
        <v>0</v>
      </c>
      <c r="H26">
        <v>0</v>
      </c>
      <c r="I26" s="72">
        <f t="shared" si="0"/>
        <v>1.7371323972555399</v>
      </c>
      <c r="K26" s="11" t="s">
        <v>260</v>
      </c>
      <c r="L26" s="11" t="s">
        <v>261</v>
      </c>
      <c r="M26" s="11" t="s">
        <v>272</v>
      </c>
      <c r="N26" s="2" t="s">
        <v>181</v>
      </c>
      <c r="O26" s="2" t="s">
        <v>273</v>
      </c>
      <c r="P26" s="2" t="s">
        <v>274</v>
      </c>
      <c r="Q26" s="2" t="s">
        <v>275</v>
      </c>
      <c r="R26" s="2" t="s">
        <v>276</v>
      </c>
    </row>
    <row r="27" spans="1:18" x14ac:dyDescent="0.3">
      <c r="A27">
        <v>2016</v>
      </c>
      <c r="B27">
        <v>8</v>
      </c>
      <c r="C27">
        <v>31</v>
      </c>
      <c r="D27">
        <v>2016.6669999999999</v>
      </c>
      <c r="E27">
        <v>2.1669268907777699</v>
      </c>
      <c r="F27">
        <v>0.114403770615304</v>
      </c>
      <c r="G27">
        <v>0</v>
      </c>
      <c r="H27">
        <v>0</v>
      </c>
      <c r="I27" s="72">
        <f t="shared" si="0"/>
        <v>2.2813306613930737</v>
      </c>
      <c r="K27" s="11">
        <v>2016</v>
      </c>
      <c r="L27" s="11">
        <v>6</v>
      </c>
      <c r="M27" s="57">
        <f>I25</f>
        <v>1.3005134611793121</v>
      </c>
      <c r="N27" s="2">
        <f>'Abatement - Report 3'!$C$5</f>
        <v>8.76</v>
      </c>
      <c r="O27" s="96">
        <f>M27*N27</f>
        <v>11.392497919930774</v>
      </c>
      <c r="P27" s="99">
        <f>O27*44/12</f>
        <v>41.772492373079508</v>
      </c>
      <c r="Q27" s="96">
        <f>'Fuel Emissions'!$D$45</f>
        <v>0.37158741532075468</v>
      </c>
      <c r="R27" s="98">
        <f>P27-Q27</f>
        <v>41.400904957758755</v>
      </c>
    </row>
    <row r="28" spans="1:18" x14ac:dyDescent="0.3">
      <c r="A28">
        <v>2016</v>
      </c>
      <c r="B28">
        <v>9</v>
      </c>
      <c r="C28">
        <v>30</v>
      </c>
      <c r="D28">
        <v>2016.749</v>
      </c>
      <c r="E28">
        <v>2.75148660089959</v>
      </c>
      <c r="F28">
        <v>0.14434746370884499</v>
      </c>
      <c r="G28">
        <v>0</v>
      </c>
      <c r="H28">
        <v>0</v>
      </c>
      <c r="I28" s="72">
        <f t="shared" si="0"/>
        <v>2.8958340646084348</v>
      </c>
      <c r="K28" s="11">
        <v>2017</v>
      </c>
      <c r="L28" s="11">
        <v>6</v>
      </c>
      <c r="M28" s="57">
        <f>I37</f>
        <v>10.660078522215057</v>
      </c>
      <c r="N28" s="2">
        <f>'Abatement - Report 3'!$C$5</f>
        <v>8.76</v>
      </c>
      <c r="O28" s="96">
        <f t="shared" ref="O28:O36" si="1">M28*N28</f>
        <v>93.382287854603902</v>
      </c>
      <c r="P28" s="99">
        <f t="shared" ref="P28:P36" si="2">O28*44/12</f>
        <v>342.40172213354759</v>
      </c>
      <c r="Q28" s="96">
        <f>'Fuel Emissions'!$D$45</f>
        <v>0.37158741532075468</v>
      </c>
      <c r="R28" s="96">
        <f t="shared" ref="R28:R36" si="3">P28-Q28</f>
        <v>342.03013471822686</v>
      </c>
    </row>
    <row r="29" spans="1:18" x14ac:dyDescent="0.3">
      <c r="A29">
        <v>2016</v>
      </c>
      <c r="B29">
        <v>10</v>
      </c>
      <c r="C29">
        <v>31</v>
      </c>
      <c r="D29">
        <v>2016.8330000000001</v>
      </c>
      <c r="E29">
        <v>3.6864390024879099</v>
      </c>
      <c r="F29">
        <v>0.18260336549827499</v>
      </c>
      <c r="G29">
        <v>0</v>
      </c>
      <c r="H29">
        <v>0</v>
      </c>
      <c r="I29" s="72">
        <f t="shared" si="0"/>
        <v>3.8690423679861849</v>
      </c>
      <c r="K29" s="11">
        <v>2018</v>
      </c>
      <c r="L29" s="11">
        <v>6</v>
      </c>
      <c r="M29" s="57">
        <f>I49</f>
        <v>26.17115948539589</v>
      </c>
      <c r="N29" s="2">
        <f>'Abatement - Report 3'!$C$5</f>
        <v>8.76</v>
      </c>
      <c r="O29" s="96">
        <f t="shared" si="1"/>
        <v>229.259357092068</v>
      </c>
      <c r="P29" s="99">
        <f t="shared" si="2"/>
        <v>840.6176426709161</v>
      </c>
      <c r="Q29" s="96">
        <f>'Fuel Emissions'!$D$45</f>
        <v>0.37158741532075468</v>
      </c>
      <c r="R29" s="96">
        <f t="shared" si="3"/>
        <v>840.24605525559537</v>
      </c>
    </row>
    <row r="30" spans="1:18" x14ac:dyDescent="0.3">
      <c r="A30">
        <v>2016</v>
      </c>
      <c r="B30">
        <v>11</v>
      </c>
      <c r="C30">
        <v>30</v>
      </c>
      <c r="D30">
        <v>2016.915</v>
      </c>
      <c r="E30">
        <v>4.4770455417154098</v>
      </c>
      <c r="F30">
        <v>0.22873004396229099</v>
      </c>
      <c r="G30">
        <v>0</v>
      </c>
      <c r="H30">
        <v>0</v>
      </c>
      <c r="I30" s="72">
        <f t="shared" si="0"/>
        <v>4.705775585677701</v>
      </c>
      <c r="K30" s="11">
        <v>2019</v>
      </c>
      <c r="L30" s="11">
        <v>6</v>
      </c>
      <c r="M30" s="57">
        <f>I61</f>
        <v>41.759178119906352</v>
      </c>
      <c r="N30" s="2">
        <f>'Abatement - Report 3'!$C$5</f>
        <v>8.76</v>
      </c>
      <c r="O30" s="96">
        <f t="shared" si="1"/>
        <v>365.81040033037965</v>
      </c>
      <c r="P30" s="99">
        <f t="shared" si="2"/>
        <v>1341.304801211392</v>
      </c>
      <c r="Q30" s="96">
        <f>'Fuel Emissions'!$D$45</f>
        <v>0.37158741532075468</v>
      </c>
      <c r="R30" s="96">
        <f t="shared" si="3"/>
        <v>1340.9332137960712</v>
      </c>
    </row>
    <row r="31" spans="1:18" x14ac:dyDescent="0.3">
      <c r="A31">
        <v>2016</v>
      </c>
      <c r="B31">
        <v>12</v>
      </c>
      <c r="C31">
        <v>31</v>
      </c>
      <c r="D31">
        <v>2017</v>
      </c>
      <c r="E31">
        <v>5.3800081003911604</v>
      </c>
      <c r="F31">
        <v>0.28510708095451498</v>
      </c>
      <c r="G31">
        <v>0</v>
      </c>
      <c r="H31">
        <v>0</v>
      </c>
      <c r="I31" s="72">
        <f t="shared" si="0"/>
        <v>5.6651151813456755</v>
      </c>
      <c r="K31" s="11">
        <v>2020</v>
      </c>
      <c r="L31" s="11">
        <v>6</v>
      </c>
      <c r="M31" s="57">
        <f>I73</f>
        <v>51.456610177475966</v>
      </c>
      <c r="N31" s="2">
        <f>'Abatement - Report 3'!$C$5</f>
        <v>8.76</v>
      </c>
      <c r="O31" s="96">
        <f t="shared" si="1"/>
        <v>450.75990515468948</v>
      </c>
      <c r="P31" s="99">
        <f t="shared" si="2"/>
        <v>1652.7863189005282</v>
      </c>
      <c r="Q31" s="96">
        <f>'Fuel Emissions'!$D$45</f>
        <v>0.37158741532075468</v>
      </c>
      <c r="R31" s="96">
        <f t="shared" si="3"/>
        <v>1652.4147314852073</v>
      </c>
    </row>
    <row r="32" spans="1:18" x14ac:dyDescent="0.3">
      <c r="A32">
        <v>2017</v>
      </c>
      <c r="B32">
        <v>1</v>
      </c>
      <c r="C32">
        <v>31</v>
      </c>
      <c r="D32">
        <v>2017.085</v>
      </c>
      <c r="E32">
        <v>6.0147486388462701</v>
      </c>
      <c r="F32">
        <v>0.34862027642349103</v>
      </c>
      <c r="G32">
        <v>0</v>
      </c>
      <c r="H32">
        <v>0</v>
      </c>
      <c r="I32" s="72">
        <f t="shared" si="0"/>
        <v>6.3633689152697608</v>
      </c>
      <c r="K32" s="11">
        <v>2021</v>
      </c>
      <c r="L32" s="11">
        <v>6</v>
      </c>
      <c r="M32" s="57">
        <f>I85</f>
        <v>63.330380952873625</v>
      </c>
      <c r="N32" s="2">
        <f>'Abatement - Report 3'!$C$5</f>
        <v>8.76</v>
      </c>
      <c r="O32" s="96">
        <f t="shared" si="1"/>
        <v>554.77413714717295</v>
      </c>
      <c r="P32" s="99">
        <f t="shared" si="2"/>
        <v>2034.1718362063009</v>
      </c>
      <c r="Q32" s="96">
        <f>'Fuel Emissions'!$D$45</f>
        <v>0.37158741532075468</v>
      </c>
      <c r="R32" s="96">
        <f t="shared" si="3"/>
        <v>2033.80024879098</v>
      </c>
    </row>
    <row r="33" spans="1:18" x14ac:dyDescent="0.3">
      <c r="A33">
        <v>2017</v>
      </c>
      <c r="B33">
        <v>2</v>
      </c>
      <c r="C33">
        <v>28</v>
      </c>
      <c r="D33">
        <v>2017.162</v>
      </c>
      <c r="E33">
        <v>6.6180652571842504</v>
      </c>
      <c r="F33">
        <v>0.41044248134893502</v>
      </c>
      <c r="G33">
        <v>0</v>
      </c>
      <c r="H33">
        <v>0</v>
      </c>
      <c r="I33" s="72">
        <f t="shared" si="0"/>
        <v>7.0285077385331851</v>
      </c>
      <c r="K33" s="11">
        <v>2022</v>
      </c>
      <c r="L33" s="11">
        <v>6</v>
      </c>
      <c r="M33" s="57">
        <f>I97</f>
        <v>69.962008074880004</v>
      </c>
      <c r="N33" s="2">
        <f>'Abatement - Report 3'!$C$5</f>
        <v>8.76</v>
      </c>
      <c r="O33" s="96">
        <f t="shared" si="1"/>
        <v>612.86719073594884</v>
      </c>
      <c r="P33" s="99">
        <f t="shared" si="2"/>
        <v>2247.1796993651456</v>
      </c>
      <c r="Q33" s="96">
        <f>'Fuel Emissions'!$D$45</f>
        <v>0.37158741532075468</v>
      </c>
      <c r="R33" s="96">
        <f t="shared" si="3"/>
        <v>2246.8081119498247</v>
      </c>
    </row>
    <row r="34" spans="1:18" x14ac:dyDescent="0.3">
      <c r="A34">
        <v>2017</v>
      </c>
      <c r="B34">
        <v>3</v>
      </c>
      <c r="C34">
        <v>31</v>
      </c>
      <c r="D34">
        <v>2017.2470000000001</v>
      </c>
      <c r="E34">
        <v>7.31752368599716</v>
      </c>
      <c r="F34">
        <v>0.484144477865873</v>
      </c>
      <c r="G34">
        <v>0</v>
      </c>
      <c r="H34">
        <v>0</v>
      </c>
      <c r="I34" s="72">
        <f t="shared" si="0"/>
        <v>7.8016681638630327</v>
      </c>
      <c r="K34" s="11">
        <v>2023</v>
      </c>
      <c r="L34" s="11">
        <v>6</v>
      </c>
      <c r="M34" s="57">
        <f>I109</f>
        <v>76.054760802656403</v>
      </c>
      <c r="N34" s="2">
        <f>'Abatement - Report 3'!$C$5</f>
        <v>8.76</v>
      </c>
      <c r="O34" s="96">
        <f t="shared" si="1"/>
        <v>666.23970463127011</v>
      </c>
      <c r="P34" s="99">
        <f t="shared" si="2"/>
        <v>2442.878916981324</v>
      </c>
      <c r="Q34" s="96">
        <f>'Fuel Emissions'!$D$45</f>
        <v>0.37158741532075468</v>
      </c>
      <c r="R34" s="96">
        <f t="shared" si="3"/>
        <v>2442.5073295660031</v>
      </c>
    </row>
    <row r="35" spans="1:18" x14ac:dyDescent="0.3">
      <c r="A35">
        <v>2017</v>
      </c>
      <c r="B35">
        <v>4</v>
      </c>
      <c r="C35">
        <v>30</v>
      </c>
      <c r="D35">
        <v>2017.329</v>
      </c>
      <c r="E35">
        <v>8.0241923491864693</v>
      </c>
      <c r="F35">
        <v>0.56124096237982601</v>
      </c>
      <c r="G35">
        <v>0</v>
      </c>
      <c r="H35">
        <v>0</v>
      </c>
      <c r="I35" s="72">
        <f t="shared" si="0"/>
        <v>8.5854333115662946</v>
      </c>
      <c r="K35" s="11">
        <v>2024</v>
      </c>
      <c r="L35" s="11">
        <v>6</v>
      </c>
      <c r="M35" s="57">
        <f>I121</f>
        <v>83.723212782593691</v>
      </c>
      <c r="N35" s="2">
        <f>'Abatement - Report 3'!$C$5</f>
        <v>8.76</v>
      </c>
      <c r="O35" s="96">
        <f t="shared" si="1"/>
        <v>733.41534397552073</v>
      </c>
      <c r="P35" s="99">
        <f t="shared" si="2"/>
        <v>2689.1895945769093</v>
      </c>
      <c r="Q35" s="96">
        <f>'Fuel Emissions'!$D$45</f>
        <v>0.37158741532075468</v>
      </c>
      <c r="R35" s="96">
        <f t="shared" si="3"/>
        <v>2688.8180071615884</v>
      </c>
    </row>
    <row r="36" spans="1:18" x14ac:dyDescent="0.3">
      <c r="A36">
        <v>2017</v>
      </c>
      <c r="B36">
        <v>5</v>
      </c>
      <c r="C36">
        <v>31</v>
      </c>
      <c r="D36">
        <v>2017.414</v>
      </c>
      <c r="E36">
        <v>8.7832953147684005</v>
      </c>
      <c r="F36">
        <v>0.64647871627498199</v>
      </c>
      <c r="G36">
        <v>0</v>
      </c>
      <c r="H36">
        <v>0</v>
      </c>
      <c r="I36" s="72">
        <f t="shared" si="0"/>
        <v>9.4297740310433831</v>
      </c>
      <c r="K36" s="11">
        <v>2025</v>
      </c>
      <c r="L36" s="11">
        <v>6</v>
      </c>
      <c r="M36" s="57">
        <f>I133</f>
        <v>90.828100743876902</v>
      </c>
      <c r="N36" s="2">
        <f>'Abatement - Report 3'!$C$5</f>
        <v>8.76</v>
      </c>
      <c r="O36" s="96">
        <f t="shared" si="1"/>
        <v>795.65416251636168</v>
      </c>
      <c r="P36" s="99">
        <f t="shared" si="2"/>
        <v>2917.3985958933263</v>
      </c>
      <c r="Q36" s="96">
        <f>'Fuel Emissions'!$D$45</f>
        <v>0.37158741532075468</v>
      </c>
      <c r="R36" s="96">
        <f t="shared" si="3"/>
        <v>2917.0270084780054</v>
      </c>
    </row>
    <row r="37" spans="1:18" x14ac:dyDescent="0.3">
      <c r="A37">
        <v>2017</v>
      </c>
      <c r="B37">
        <v>6</v>
      </c>
      <c r="C37">
        <v>30</v>
      </c>
      <c r="D37">
        <v>2017.4960000000001</v>
      </c>
      <c r="E37">
        <v>9.9212419539848096</v>
      </c>
      <c r="F37">
        <v>0.73883656823024801</v>
      </c>
      <c r="G37">
        <v>0</v>
      </c>
      <c r="H37">
        <v>0</v>
      </c>
      <c r="I37" s="106">
        <f t="shared" si="0"/>
        <v>10.660078522215057</v>
      </c>
      <c r="J37" s="11">
        <v>15.55744652826891</v>
      </c>
      <c r="K37" s="11"/>
      <c r="L37" s="11"/>
      <c r="M37" s="11"/>
    </row>
    <row r="38" spans="1:18" x14ac:dyDescent="0.3">
      <c r="A38">
        <v>2017</v>
      </c>
      <c r="B38">
        <v>7</v>
      </c>
      <c r="C38">
        <v>31</v>
      </c>
      <c r="D38">
        <v>2017.5809999999999</v>
      </c>
      <c r="E38">
        <v>11.1437064323187</v>
      </c>
      <c r="F38">
        <v>0.84427669321271404</v>
      </c>
      <c r="G38">
        <v>0</v>
      </c>
      <c r="H38">
        <v>0</v>
      </c>
      <c r="I38" s="72">
        <f t="shared" si="0"/>
        <v>11.987983125531414</v>
      </c>
      <c r="K38" s="11"/>
      <c r="L38" s="11"/>
      <c r="M38" s="11"/>
    </row>
    <row r="39" spans="1:18" x14ac:dyDescent="0.3">
      <c r="A39">
        <v>2017</v>
      </c>
      <c r="B39">
        <v>8</v>
      </c>
      <c r="C39">
        <v>31</v>
      </c>
      <c r="D39">
        <v>2017.6659999999999</v>
      </c>
      <c r="E39">
        <v>12.414587075194699</v>
      </c>
      <c r="F39">
        <v>0.96197251387341198</v>
      </c>
      <c r="G39">
        <v>0</v>
      </c>
      <c r="H39">
        <v>0</v>
      </c>
      <c r="I39" s="72">
        <f t="shared" si="0"/>
        <v>13.376559589068112</v>
      </c>
      <c r="K39" s="11"/>
      <c r="L39" s="11"/>
      <c r="M39" s="11"/>
    </row>
    <row r="40" spans="1:18" x14ac:dyDescent="0.3">
      <c r="A40">
        <v>2017</v>
      </c>
      <c r="B40">
        <v>9</v>
      </c>
      <c r="C40">
        <v>30</v>
      </c>
      <c r="D40">
        <v>2017.748</v>
      </c>
      <c r="E40">
        <v>13.684999846967401</v>
      </c>
      <c r="F40">
        <v>1.08402613835893</v>
      </c>
      <c r="G40">
        <v>0</v>
      </c>
      <c r="H40">
        <v>0</v>
      </c>
      <c r="I40" s="72">
        <f t="shared" si="0"/>
        <v>14.76902598532633</v>
      </c>
      <c r="K40" s="11"/>
      <c r="L40" s="11"/>
      <c r="M40" s="11"/>
    </row>
    <row r="41" spans="1:18" x14ac:dyDescent="0.3">
      <c r="A41">
        <v>2017</v>
      </c>
      <c r="B41">
        <v>10</v>
      </c>
      <c r="C41">
        <v>31</v>
      </c>
      <c r="D41">
        <v>2017.8330000000001</v>
      </c>
      <c r="E41">
        <v>14.598886830620399</v>
      </c>
      <c r="F41">
        <v>1.2113350954434801</v>
      </c>
      <c r="G41">
        <v>0</v>
      </c>
      <c r="H41">
        <v>0</v>
      </c>
      <c r="I41" s="72">
        <f t="shared" si="0"/>
        <v>15.81022192606388</v>
      </c>
      <c r="K41" s="11"/>
      <c r="L41" s="11"/>
      <c r="M41" s="11"/>
    </row>
    <row r="42" spans="1:18" x14ac:dyDescent="0.3">
      <c r="A42">
        <v>2017</v>
      </c>
      <c r="B42">
        <v>11</v>
      </c>
      <c r="C42">
        <v>30</v>
      </c>
      <c r="D42">
        <v>2017.915</v>
      </c>
      <c r="E42">
        <v>15.469986506778699</v>
      </c>
      <c r="F42">
        <v>1.33907927262924</v>
      </c>
      <c r="G42">
        <v>0</v>
      </c>
      <c r="H42">
        <v>0</v>
      </c>
      <c r="I42" s="72">
        <f t="shared" si="0"/>
        <v>16.809065779407938</v>
      </c>
      <c r="K42" s="11"/>
      <c r="L42" s="11"/>
      <c r="M42" s="11"/>
    </row>
    <row r="43" spans="1:18" x14ac:dyDescent="0.3">
      <c r="A43">
        <v>2017</v>
      </c>
      <c r="B43">
        <v>12</v>
      </c>
      <c r="C43">
        <v>31</v>
      </c>
      <c r="D43">
        <v>2018</v>
      </c>
      <c r="E43">
        <v>16.383152188409099</v>
      </c>
      <c r="F43">
        <v>1.4748945276640699</v>
      </c>
      <c r="G43">
        <v>0</v>
      </c>
      <c r="H43">
        <v>0</v>
      </c>
      <c r="I43" s="72">
        <f t="shared" si="0"/>
        <v>17.858046716073169</v>
      </c>
      <c r="K43" s="11"/>
      <c r="L43" s="11"/>
      <c r="M43" s="11"/>
    </row>
    <row r="44" spans="1:18" x14ac:dyDescent="0.3">
      <c r="A44">
        <v>2018</v>
      </c>
      <c r="B44">
        <v>1</v>
      </c>
      <c r="C44">
        <v>31</v>
      </c>
      <c r="D44">
        <v>2018.085</v>
      </c>
      <c r="E44">
        <v>17.308160419831701</v>
      </c>
      <c r="F44">
        <v>1.61504872288402</v>
      </c>
      <c r="G44">
        <v>0</v>
      </c>
      <c r="H44">
        <v>0</v>
      </c>
      <c r="I44" s="72">
        <f t="shared" si="0"/>
        <v>18.92320914271572</v>
      </c>
      <c r="K44" s="11"/>
      <c r="L44" s="11"/>
      <c r="M44" s="11"/>
    </row>
    <row r="45" spans="1:18" x14ac:dyDescent="0.3">
      <c r="A45">
        <v>2018</v>
      </c>
      <c r="B45">
        <v>2</v>
      </c>
      <c r="C45">
        <v>28</v>
      </c>
      <c r="D45">
        <v>2018.162</v>
      </c>
      <c r="E45">
        <v>18.570293146352501</v>
      </c>
      <c r="F45">
        <v>1.7470930532107001</v>
      </c>
      <c r="G45">
        <v>0</v>
      </c>
      <c r="H45">
        <v>0</v>
      </c>
      <c r="I45" s="72">
        <f t="shared" si="0"/>
        <v>20.317386199563202</v>
      </c>
      <c r="K45" s="11"/>
      <c r="L45" s="11"/>
      <c r="M45" s="11"/>
    </row>
    <row r="46" spans="1:18" x14ac:dyDescent="0.3">
      <c r="A46">
        <v>2018</v>
      </c>
      <c r="B46">
        <v>3</v>
      </c>
      <c r="C46">
        <v>31</v>
      </c>
      <c r="D46">
        <v>2018.2470000000001</v>
      </c>
      <c r="E46">
        <v>19.9946915077828</v>
      </c>
      <c r="F46">
        <v>1.90178105152167</v>
      </c>
      <c r="G46">
        <v>0</v>
      </c>
      <c r="H46">
        <v>0</v>
      </c>
      <c r="I46" s="72">
        <f t="shared" si="0"/>
        <v>21.89647255930447</v>
      </c>
      <c r="K46" s="11"/>
      <c r="L46" s="11"/>
      <c r="M46" s="11"/>
    </row>
    <row r="47" spans="1:18" x14ac:dyDescent="0.3">
      <c r="A47">
        <v>2018</v>
      </c>
      <c r="B47">
        <v>4</v>
      </c>
      <c r="C47">
        <v>30</v>
      </c>
      <c r="D47">
        <v>2018.329</v>
      </c>
      <c r="E47">
        <v>21.376824526442299</v>
      </c>
      <c r="F47">
        <v>2.0605523842502702</v>
      </c>
      <c r="G47">
        <v>0</v>
      </c>
      <c r="H47">
        <v>0</v>
      </c>
      <c r="I47" s="72">
        <f t="shared" si="0"/>
        <v>23.437376910692571</v>
      </c>
      <c r="K47" s="11"/>
      <c r="L47" s="11"/>
      <c r="M47" s="11"/>
    </row>
    <row r="48" spans="1:18" x14ac:dyDescent="0.3">
      <c r="A48">
        <v>2018</v>
      </c>
      <c r="B48">
        <v>5</v>
      </c>
      <c r="C48">
        <v>31</v>
      </c>
      <c r="D48">
        <v>2018.414</v>
      </c>
      <c r="E48">
        <v>22.816703354998101</v>
      </c>
      <c r="F48">
        <v>2.2314231965508702</v>
      </c>
      <c r="G48">
        <v>0</v>
      </c>
      <c r="H48">
        <v>0</v>
      </c>
      <c r="I48" s="72">
        <f t="shared" si="0"/>
        <v>25.048126551548972</v>
      </c>
      <c r="K48" s="11"/>
      <c r="L48" s="11"/>
      <c r="M48" s="11"/>
    </row>
    <row r="49" spans="1:13" x14ac:dyDescent="0.3">
      <c r="A49">
        <v>2018</v>
      </c>
      <c r="B49">
        <v>6</v>
      </c>
      <c r="C49">
        <v>30</v>
      </c>
      <c r="D49">
        <v>2018.4960000000001</v>
      </c>
      <c r="E49">
        <v>23.762359455063699</v>
      </c>
      <c r="F49">
        <v>2.4088000303321899</v>
      </c>
      <c r="G49">
        <v>0</v>
      </c>
      <c r="H49">
        <v>0</v>
      </c>
      <c r="I49" s="106">
        <f t="shared" si="0"/>
        <v>26.17115948539589</v>
      </c>
      <c r="J49" s="11">
        <v>24.20199414734304</v>
      </c>
      <c r="K49" s="11"/>
      <c r="L49" s="11"/>
      <c r="M49" s="11"/>
    </row>
    <row r="50" spans="1:13" x14ac:dyDescent="0.3">
      <c r="A50">
        <v>2018</v>
      </c>
      <c r="B50">
        <v>7</v>
      </c>
      <c r="C50">
        <v>31</v>
      </c>
      <c r="D50">
        <v>2018.5809999999999</v>
      </c>
      <c r="E50">
        <v>24.730595217812599</v>
      </c>
      <c r="F50">
        <v>2.5975514459001801</v>
      </c>
      <c r="G50">
        <v>0</v>
      </c>
      <c r="H50">
        <v>0</v>
      </c>
      <c r="I50" s="72">
        <f t="shared" si="0"/>
        <v>27.328146663712779</v>
      </c>
      <c r="K50" s="11"/>
      <c r="L50" s="11"/>
      <c r="M50" s="11"/>
    </row>
    <row r="51" spans="1:13" x14ac:dyDescent="0.3">
      <c r="A51">
        <v>2018</v>
      </c>
      <c r="B51">
        <v>8</v>
      </c>
      <c r="C51">
        <v>31</v>
      </c>
      <c r="D51">
        <v>2018.6659999999999</v>
      </c>
      <c r="E51">
        <v>25.701161076848202</v>
      </c>
      <c r="F51">
        <v>2.79724964134375</v>
      </c>
      <c r="G51">
        <v>0</v>
      </c>
      <c r="H51">
        <v>0</v>
      </c>
      <c r="I51" s="72">
        <f t="shared" si="0"/>
        <v>28.498410718191952</v>
      </c>
      <c r="K51" s="11"/>
      <c r="L51" s="11"/>
      <c r="M51" s="11"/>
    </row>
    <row r="52" spans="1:13" x14ac:dyDescent="0.3">
      <c r="A52">
        <v>2018</v>
      </c>
      <c r="B52">
        <v>9</v>
      </c>
      <c r="C52">
        <v>30</v>
      </c>
      <c r="D52">
        <v>2018.748</v>
      </c>
      <c r="E52">
        <v>26.6359519465801</v>
      </c>
      <c r="F52">
        <v>2.9910982139529798</v>
      </c>
      <c r="G52">
        <v>0</v>
      </c>
      <c r="H52">
        <v>0</v>
      </c>
      <c r="I52" s="72">
        <f t="shared" si="0"/>
        <v>29.627050160533081</v>
      </c>
      <c r="K52" s="11"/>
      <c r="L52" s="11"/>
      <c r="M52" s="11"/>
    </row>
    <row r="53" spans="1:13" x14ac:dyDescent="0.3">
      <c r="A53">
        <v>2018</v>
      </c>
      <c r="B53">
        <v>10</v>
      </c>
      <c r="C53">
        <v>31</v>
      </c>
      <c r="D53">
        <v>2018.8330000000001</v>
      </c>
      <c r="E53">
        <v>28.078113011611801</v>
      </c>
      <c r="F53">
        <v>3.1788253148839898</v>
      </c>
      <c r="G53">
        <v>0</v>
      </c>
      <c r="H53">
        <v>0</v>
      </c>
      <c r="I53" s="72">
        <f t="shared" si="0"/>
        <v>31.256938326495792</v>
      </c>
      <c r="K53" s="11"/>
      <c r="L53" s="11"/>
      <c r="M53" s="11"/>
    </row>
    <row r="54" spans="1:13" x14ac:dyDescent="0.3">
      <c r="A54">
        <v>2018</v>
      </c>
      <c r="B54">
        <v>11</v>
      </c>
      <c r="C54">
        <v>30</v>
      </c>
      <c r="D54">
        <v>2018.915</v>
      </c>
      <c r="E54">
        <v>29.4810389475475</v>
      </c>
      <c r="F54">
        <v>3.3650841522113502</v>
      </c>
      <c r="G54">
        <v>0</v>
      </c>
      <c r="H54">
        <v>0</v>
      </c>
      <c r="I54" s="72">
        <f t="shared" si="0"/>
        <v>32.846123099758849</v>
      </c>
      <c r="K54" s="11"/>
      <c r="L54" s="11"/>
      <c r="M54" s="11"/>
    </row>
    <row r="55" spans="1:13" x14ac:dyDescent="0.3">
      <c r="A55">
        <v>2018</v>
      </c>
      <c r="B55">
        <v>12</v>
      </c>
      <c r="C55">
        <v>31</v>
      </c>
      <c r="D55">
        <v>2019</v>
      </c>
      <c r="E55">
        <v>30.928520061422802</v>
      </c>
      <c r="F55">
        <v>3.56192147475794</v>
      </c>
      <c r="G55">
        <v>0</v>
      </c>
      <c r="H55">
        <v>0</v>
      </c>
      <c r="I55" s="72">
        <f t="shared" si="0"/>
        <v>34.490441536180739</v>
      </c>
    </row>
    <row r="56" spans="1:13" x14ac:dyDescent="0.3">
      <c r="A56">
        <v>2019</v>
      </c>
      <c r="B56">
        <v>1</v>
      </c>
      <c r="C56">
        <v>31</v>
      </c>
      <c r="D56">
        <v>2019.085</v>
      </c>
      <c r="E56">
        <v>32.366925047574298</v>
      </c>
      <c r="F56">
        <v>3.7640375992286499</v>
      </c>
      <c r="G56">
        <v>0</v>
      </c>
      <c r="H56">
        <v>0</v>
      </c>
      <c r="I56" s="72">
        <f t="shared" si="0"/>
        <v>36.130962646802949</v>
      </c>
    </row>
    <row r="57" spans="1:13" x14ac:dyDescent="0.3">
      <c r="A57">
        <v>2019</v>
      </c>
      <c r="B57">
        <v>2</v>
      </c>
      <c r="C57">
        <v>28</v>
      </c>
      <c r="D57">
        <v>2019.162</v>
      </c>
      <c r="E57">
        <v>33.240539620305199</v>
      </c>
      <c r="F57">
        <v>3.94935330903819</v>
      </c>
      <c r="G57">
        <v>0</v>
      </c>
      <c r="H57">
        <v>0</v>
      </c>
      <c r="I57" s="72">
        <f t="shared" si="0"/>
        <v>37.189892929343387</v>
      </c>
    </row>
    <row r="58" spans="1:13" x14ac:dyDescent="0.3">
      <c r="A58">
        <v>2019</v>
      </c>
      <c r="B58">
        <v>3</v>
      </c>
      <c r="C58">
        <v>31</v>
      </c>
      <c r="D58">
        <v>2019.2470000000001</v>
      </c>
      <c r="E58">
        <v>34.192207447048702</v>
      </c>
      <c r="F58">
        <v>4.1566026467529698</v>
      </c>
      <c r="G58">
        <v>0</v>
      </c>
      <c r="H58">
        <v>0</v>
      </c>
      <c r="I58" s="72">
        <f t="shared" si="0"/>
        <v>38.348810093801674</v>
      </c>
    </row>
    <row r="59" spans="1:13" x14ac:dyDescent="0.3">
      <c r="A59">
        <v>2019</v>
      </c>
      <c r="B59">
        <v>4</v>
      </c>
      <c r="C59">
        <v>30</v>
      </c>
      <c r="D59">
        <v>2019.329</v>
      </c>
      <c r="E59">
        <v>35.110064551962203</v>
      </c>
      <c r="F59">
        <v>4.3615132574620796</v>
      </c>
      <c r="G59">
        <v>0</v>
      </c>
      <c r="H59">
        <v>0</v>
      </c>
      <c r="I59" s="72">
        <f t="shared" si="0"/>
        <v>39.471577809424282</v>
      </c>
    </row>
    <row r="60" spans="1:13" x14ac:dyDescent="0.3">
      <c r="A60">
        <v>2019</v>
      </c>
      <c r="B60">
        <v>5</v>
      </c>
      <c r="C60">
        <v>31</v>
      </c>
      <c r="D60">
        <v>2019.414</v>
      </c>
      <c r="E60">
        <v>36.054945684912603</v>
      </c>
      <c r="F60">
        <v>4.5737220272482304</v>
      </c>
      <c r="G60">
        <v>0</v>
      </c>
      <c r="H60">
        <v>0</v>
      </c>
      <c r="I60" s="72">
        <f t="shared" si="0"/>
        <v>40.628667712160834</v>
      </c>
    </row>
    <row r="61" spans="1:13" x14ac:dyDescent="0.3">
      <c r="A61">
        <v>2019</v>
      </c>
      <c r="B61">
        <v>6</v>
      </c>
      <c r="C61">
        <v>30</v>
      </c>
      <c r="D61">
        <v>2019.4960000000001</v>
      </c>
      <c r="E61">
        <v>36.965577056682299</v>
      </c>
      <c r="F61">
        <v>4.7936010632240498</v>
      </c>
      <c r="G61">
        <v>0</v>
      </c>
      <c r="H61">
        <v>0</v>
      </c>
      <c r="I61" s="106">
        <f t="shared" si="0"/>
        <v>41.759178119906352</v>
      </c>
      <c r="J61" s="11">
        <v>31.683710040605639</v>
      </c>
    </row>
    <row r="62" spans="1:13" x14ac:dyDescent="0.3">
      <c r="A62">
        <v>2019</v>
      </c>
      <c r="B62">
        <v>7</v>
      </c>
      <c r="C62">
        <v>31</v>
      </c>
      <c r="D62">
        <v>2019.5809999999999</v>
      </c>
      <c r="E62">
        <v>37.898691491090297</v>
      </c>
      <c r="F62">
        <v>5.0261393662436404</v>
      </c>
      <c r="G62">
        <v>0</v>
      </c>
      <c r="H62">
        <v>0</v>
      </c>
      <c r="I62" s="72">
        <f t="shared" si="0"/>
        <v>42.924830857333937</v>
      </c>
    </row>
    <row r="63" spans="1:13" x14ac:dyDescent="0.3">
      <c r="A63">
        <v>2019</v>
      </c>
      <c r="B63">
        <v>8</v>
      </c>
      <c r="C63">
        <v>31</v>
      </c>
      <c r="D63">
        <v>2019.6659999999999</v>
      </c>
      <c r="E63">
        <v>38.827024282165901</v>
      </c>
      <c r="F63">
        <v>5.27334309828694</v>
      </c>
      <c r="G63">
        <v>0</v>
      </c>
      <c r="H63">
        <v>0</v>
      </c>
      <c r="I63" s="72">
        <f t="shared" si="0"/>
        <v>44.100367380452838</v>
      </c>
    </row>
    <row r="64" spans="1:13" x14ac:dyDescent="0.3">
      <c r="A64">
        <v>2019</v>
      </c>
      <c r="B64">
        <v>9</v>
      </c>
      <c r="C64">
        <v>30</v>
      </c>
      <c r="D64">
        <v>2019.748</v>
      </c>
      <c r="E64">
        <v>39.720855754446802</v>
      </c>
      <c r="F64">
        <v>5.5096309743208796</v>
      </c>
      <c r="G64">
        <v>0</v>
      </c>
      <c r="H64">
        <v>0</v>
      </c>
      <c r="I64" s="72">
        <f t="shared" si="0"/>
        <v>45.23048672876768</v>
      </c>
    </row>
    <row r="65" spans="1:9" x14ac:dyDescent="0.3">
      <c r="A65">
        <v>2019</v>
      </c>
      <c r="B65">
        <v>10</v>
      </c>
      <c r="C65">
        <v>31</v>
      </c>
      <c r="D65">
        <v>2019.8330000000001</v>
      </c>
      <c r="E65">
        <v>40.191953824322297</v>
      </c>
      <c r="F65">
        <v>5.7219112025872603</v>
      </c>
      <c r="G65">
        <v>0</v>
      </c>
      <c r="H65">
        <v>0</v>
      </c>
      <c r="I65" s="72">
        <f t="shared" si="0"/>
        <v>45.913865026909555</v>
      </c>
    </row>
    <row r="66" spans="1:9" x14ac:dyDescent="0.3">
      <c r="A66">
        <v>2019</v>
      </c>
      <c r="B66">
        <v>11</v>
      </c>
      <c r="C66">
        <v>30</v>
      </c>
      <c r="D66">
        <v>2019.915</v>
      </c>
      <c r="E66">
        <v>40.635850133845203</v>
      </c>
      <c r="F66">
        <v>5.9221778764526603</v>
      </c>
      <c r="G66">
        <v>0</v>
      </c>
      <c r="H66">
        <v>0</v>
      </c>
      <c r="I66" s="72">
        <f t="shared" si="0"/>
        <v>46.558028010297861</v>
      </c>
    </row>
    <row r="67" spans="1:9" x14ac:dyDescent="0.3">
      <c r="A67">
        <v>2019</v>
      </c>
      <c r="B67">
        <v>12</v>
      </c>
      <c r="C67">
        <v>31</v>
      </c>
      <c r="D67">
        <v>2020</v>
      </c>
      <c r="E67">
        <v>41.093255725014998</v>
      </c>
      <c r="F67">
        <v>6.1244102461254002</v>
      </c>
      <c r="G67">
        <v>0</v>
      </c>
      <c r="H67">
        <v>0</v>
      </c>
      <c r="I67" s="72">
        <f t="shared" si="0"/>
        <v>47.217665971140399</v>
      </c>
    </row>
    <row r="68" spans="1:9" x14ac:dyDescent="0.3">
      <c r="A68">
        <v>2020</v>
      </c>
      <c r="B68">
        <v>1</v>
      </c>
      <c r="C68">
        <v>31</v>
      </c>
      <c r="D68">
        <v>2020.085</v>
      </c>
      <c r="E68">
        <v>41.549328107079198</v>
      </c>
      <c r="F68">
        <v>6.3240424421712804</v>
      </c>
      <c r="G68">
        <v>0</v>
      </c>
      <c r="H68">
        <v>0</v>
      </c>
      <c r="I68" s="72">
        <f t="shared" si="0"/>
        <v>47.873370549250481</v>
      </c>
    </row>
    <row r="69" spans="1:9" x14ac:dyDescent="0.3">
      <c r="A69">
        <v>2020</v>
      </c>
      <c r="B69">
        <v>2</v>
      </c>
      <c r="C69">
        <v>29</v>
      </c>
      <c r="D69">
        <v>2020.164</v>
      </c>
      <c r="E69">
        <v>41.974748289092503</v>
      </c>
      <c r="F69">
        <v>6.5088533750356801</v>
      </c>
      <c r="G69">
        <v>0</v>
      </c>
      <c r="H69">
        <v>0</v>
      </c>
      <c r="I69" s="72">
        <f t="shared" si="0"/>
        <v>48.48360166412818</v>
      </c>
    </row>
    <row r="70" spans="1:9" x14ac:dyDescent="0.3">
      <c r="A70">
        <v>2020</v>
      </c>
      <c r="B70">
        <v>3</v>
      </c>
      <c r="C70">
        <v>31</v>
      </c>
      <c r="D70">
        <v>2020.249</v>
      </c>
      <c r="E70">
        <v>42.428173322014402</v>
      </c>
      <c r="F70">
        <v>6.7061138361446098</v>
      </c>
      <c r="G70">
        <v>0</v>
      </c>
      <c r="H70">
        <v>0</v>
      </c>
      <c r="I70" s="72">
        <f t="shared" si="0"/>
        <v>49.134287158159012</v>
      </c>
    </row>
    <row r="71" spans="1:9" x14ac:dyDescent="0.3">
      <c r="A71">
        <v>2020</v>
      </c>
      <c r="B71">
        <v>4</v>
      </c>
      <c r="C71">
        <v>30</v>
      </c>
      <c r="D71">
        <v>2020.3309999999999</v>
      </c>
      <c r="E71">
        <v>42.861831488838497</v>
      </c>
      <c r="F71">
        <v>6.8989862551263101</v>
      </c>
      <c r="G71">
        <v>0</v>
      </c>
      <c r="H71">
        <v>0</v>
      </c>
      <c r="I71" s="72">
        <f t="shared" si="0"/>
        <v>49.760817743964807</v>
      </c>
    </row>
    <row r="72" spans="1:9" x14ac:dyDescent="0.3">
      <c r="A72">
        <v>2020</v>
      </c>
      <c r="B72">
        <v>5</v>
      </c>
      <c r="C72">
        <v>31</v>
      </c>
      <c r="D72">
        <v>2020.415</v>
      </c>
      <c r="E72">
        <v>43.308424158686897</v>
      </c>
      <c r="F72">
        <v>7.0959253500226698</v>
      </c>
      <c r="G72">
        <v>0</v>
      </c>
      <c r="H72">
        <v>0</v>
      </c>
      <c r="I72" s="72">
        <f t="shared" si="0"/>
        <v>50.404349508709565</v>
      </c>
    </row>
    <row r="73" spans="1:9" x14ac:dyDescent="0.3">
      <c r="A73">
        <v>2020</v>
      </c>
      <c r="B73">
        <v>6</v>
      </c>
      <c r="C73">
        <v>30</v>
      </c>
      <c r="D73">
        <v>2020.4970000000001</v>
      </c>
      <c r="E73">
        <v>44.154433524527398</v>
      </c>
      <c r="F73">
        <v>7.3021766529485701</v>
      </c>
      <c r="G73">
        <v>0</v>
      </c>
      <c r="H73">
        <v>0</v>
      </c>
      <c r="I73" s="106">
        <f t="shared" si="0"/>
        <v>51.456610177475966</v>
      </c>
    </row>
    <row r="74" spans="1:9" x14ac:dyDescent="0.3">
      <c r="A74">
        <v>2020</v>
      </c>
      <c r="B74">
        <v>7</v>
      </c>
      <c r="C74">
        <v>31</v>
      </c>
      <c r="D74">
        <v>2020.5820000000001</v>
      </c>
      <c r="E74">
        <v>45.037756087622299</v>
      </c>
      <c r="F74">
        <v>7.5230489035380304</v>
      </c>
      <c r="G74">
        <v>0</v>
      </c>
      <c r="H74">
        <v>0</v>
      </c>
      <c r="I74" s="72">
        <f t="shared" si="0"/>
        <v>52.560804991160332</v>
      </c>
    </row>
    <row r="75" spans="1:9" x14ac:dyDescent="0.3">
      <c r="A75">
        <v>2020</v>
      </c>
      <c r="B75">
        <v>8</v>
      </c>
      <c r="C75">
        <v>31</v>
      </c>
      <c r="D75">
        <v>2020.6669999999999</v>
      </c>
      <c r="E75">
        <v>45.915105920359402</v>
      </c>
      <c r="F75">
        <v>7.7594157684852503</v>
      </c>
      <c r="G75">
        <v>0</v>
      </c>
      <c r="H75">
        <v>0</v>
      </c>
      <c r="I75" s="72">
        <f t="shared" ref="I75:I138" si="4">E75+F75</f>
        <v>53.674521688844649</v>
      </c>
    </row>
    <row r="76" spans="1:9" x14ac:dyDescent="0.3">
      <c r="A76">
        <v>2020</v>
      </c>
      <c r="B76">
        <v>9</v>
      </c>
      <c r="C76">
        <v>30</v>
      </c>
      <c r="D76">
        <v>2020.749</v>
      </c>
      <c r="E76">
        <v>46.758358652111603</v>
      </c>
      <c r="F76">
        <v>7.9801601842138803</v>
      </c>
      <c r="G76">
        <v>0</v>
      </c>
      <c r="H76">
        <v>0</v>
      </c>
      <c r="I76" s="72">
        <f t="shared" si="4"/>
        <v>54.738518836325483</v>
      </c>
    </row>
    <row r="77" spans="1:9" x14ac:dyDescent="0.3">
      <c r="A77">
        <v>2020</v>
      </c>
      <c r="B77">
        <v>10</v>
      </c>
      <c r="C77">
        <v>31</v>
      </c>
      <c r="D77">
        <v>2020.8330000000001</v>
      </c>
      <c r="E77">
        <v>47.623631548876403</v>
      </c>
      <c r="F77">
        <v>8.1678092011629992</v>
      </c>
      <c r="G77">
        <v>0</v>
      </c>
      <c r="H77">
        <v>0</v>
      </c>
      <c r="I77" s="72">
        <f t="shared" si="4"/>
        <v>55.791440750039399</v>
      </c>
    </row>
    <row r="78" spans="1:9" x14ac:dyDescent="0.3">
      <c r="A78">
        <v>2020</v>
      </c>
      <c r="B78">
        <v>11</v>
      </c>
      <c r="C78">
        <v>30</v>
      </c>
      <c r="D78">
        <v>2020.915</v>
      </c>
      <c r="E78">
        <v>48.452891085671403</v>
      </c>
      <c r="F78">
        <v>8.3417306937404199</v>
      </c>
      <c r="G78">
        <v>0</v>
      </c>
      <c r="H78">
        <v>0</v>
      </c>
      <c r="I78" s="72">
        <f t="shared" si="4"/>
        <v>56.794621779411827</v>
      </c>
    </row>
    <row r="79" spans="1:9" x14ac:dyDescent="0.3">
      <c r="A79">
        <v>2020</v>
      </c>
      <c r="B79">
        <v>12</v>
      </c>
      <c r="C79">
        <v>31</v>
      </c>
      <c r="D79">
        <v>2021</v>
      </c>
      <c r="E79">
        <v>49.3035565994671</v>
      </c>
      <c r="F79">
        <v>8.5171658063440407</v>
      </c>
      <c r="G79">
        <v>0</v>
      </c>
      <c r="H79">
        <v>0</v>
      </c>
      <c r="I79" s="72">
        <f t="shared" si="4"/>
        <v>57.820722405811139</v>
      </c>
    </row>
    <row r="80" spans="1:9" x14ac:dyDescent="0.3">
      <c r="A80">
        <v>2021</v>
      </c>
      <c r="B80">
        <v>1</v>
      </c>
      <c r="C80">
        <v>31</v>
      </c>
      <c r="D80">
        <v>2021.085</v>
      </c>
      <c r="E80">
        <v>50.147816410838601</v>
      </c>
      <c r="F80">
        <v>8.6909650771489897</v>
      </c>
      <c r="G80">
        <v>0</v>
      </c>
      <c r="H80">
        <v>0</v>
      </c>
      <c r="I80" s="72">
        <f t="shared" si="4"/>
        <v>58.838781487987589</v>
      </c>
    </row>
    <row r="81" spans="1:9" x14ac:dyDescent="0.3">
      <c r="A81">
        <v>2021</v>
      </c>
      <c r="B81">
        <v>2</v>
      </c>
      <c r="C81">
        <v>28</v>
      </c>
      <c r="D81">
        <v>2021.162</v>
      </c>
      <c r="E81">
        <v>50.904819094812702</v>
      </c>
      <c r="F81">
        <v>8.8470791023740993</v>
      </c>
      <c r="G81">
        <v>0</v>
      </c>
      <c r="H81">
        <v>0</v>
      </c>
      <c r="I81" s="72">
        <f t="shared" si="4"/>
        <v>59.751898197186804</v>
      </c>
    </row>
    <row r="82" spans="1:9" x14ac:dyDescent="0.3">
      <c r="A82">
        <v>2021</v>
      </c>
      <c r="B82">
        <v>3</v>
      </c>
      <c r="C82">
        <v>31</v>
      </c>
      <c r="D82">
        <v>2021.2470000000001</v>
      </c>
      <c r="E82">
        <v>51.736733891889301</v>
      </c>
      <c r="F82">
        <v>9.0211817625271795</v>
      </c>
      <c r="G82">
        <v>0</v>
      </c>
      <c r="H82">
        <v>0</v>
      </c>
      <c r="I82" s="72">
        <f t="shared" si="4"/>
        <v>60.757915654416479</v>
      </c>
    </row>
    <row r="83" spans="1:9" x14ac:dyDescent="0.3">
      <c r="A83">
        <v>2021</v>
      </c>
      <c r="B83">
        <v>4</v>
      </c>
      <c r="C83">
        <v>30</v>
      </c>
      <c r="D83">
        <v>2021.329</v>
      </c>
      <c r="E83">
        <v>52.535576500259801</v>
      </c>
      <c r="F83">
        <v>9.1946760842065292</v>
      </c>
      <c r="G83">
        <v>0</v>
      </c>
      <c r="H83">
        <v>0</v>
      </c>
      <c r="I83" s="72">
        <f t="shared" si="4"/>
        <v>61.730252584466328</v>
      </c>
    </row>
    <row r="84" spans="1:9" x14ac:dyDescent="0.3">
      <c r="A84">
        <v>2021</v>
      </c>
      <c r="B84">
        <v>5</v>
      </c>
      <c r="C84">
        <v>31</v>
      </c>
      <c r="D84">
        <v>2021.414</v>
      </c>
      <c r="E84">
        <v>53.352905580803402</v>
      </c>
      <c r="F84">
        <v>9.3734985073716697</v>
      </c>
      <c r="G84">
        <v>0</v>
      </c>
      <c r="H84">
        <v>0</v>
      </c>
      <c r="I84" s="72">
        <f t="shared" si="4"/>
        <v>62.726404088175073</v>
      </c>
    </row>
    <row r="85" spans="1:9" x14ac:dyDescent="0.3">
      <c r="A85">
        <v>2021</v>
      </c>
      <c r="B85">
        <v>6</v>
      </c>
      <c r="C85">
        <v>30</v>
      </c>
      <c r="D85">
        <v>2021.4960000000001</v>
      </c>
      <c r="E85">
        <v>53.762309610240301</v>
      </c>
      <c r="F85">
        <v>9.5680713426333206</v>
      </c>
      <c r="G85">
        <v>0</v>
      </c>
      <c r="H85">
        <v>0</v>
      </c>
      <c r="I85" s="106">
        <f t="shared" si="4"/>
        <v>63.330380952873625</v>
      </c>
    </row>
    <row r="86" spans="1:9" x14ac:dyDescent="0.3">
      <c r="A86">
        <v>2021</v>
      </c>
      <c r="B86">
        <v>7</v>
      </c>
      <c r="C86">
        <v>31</v>
      </c>
      <c r="D86">
        <v>2021.5809999999999</v>
      </c>
      <c r="E86">
        <v>54.166780519238202</v>
      </c>
      <c r="F86">
        <v>9.7774058256971106</v>
      </c>
      <c r="G86">
        <v>0</v>
      </c>
      <c r="H86">
        <v>0</v>
      </c>
      <c r="I86" s="72">
        <f t="shared" si="4"/>
        <v>63.944186344935311</v>
      </c>
    </row>
    <row r="87" spans="1:9" x14ac:dyDescent="0.3">
      <c r="A87">
        <v>2021</v>
      </c>
      <c r="B87">
        <v>8</v>
      </c>
      <c r="C87">
        <v>31</v>
      </c>
      <c r="D87">
        <v>2021.6659999999999</v>
      </c>
      <c r="E87">
        <v>54.569598029483501</v>
      </c>
      <c r="F87">
        <v>10.0055616070567</v>
      </c>
      <c r="G87">
        <v>0</v>
      </c>
      <c r="H87">
        <v>0</v>
      </c>
      <c r="I87" s="72">
        <f t="shared" si="4"/>
        <v>64.575159636540207</v>
      </c>
    </row>
    <row r="88" spans="1:9" x14ac:dyDescent="0.3">
      <c r="A88">
        <v>2021</v>
      </c>
      <c r="B88">
        <v>9</v>
      </c>
      <c r="C88">
        <v>30</v>
      </c>
      <c r="D88">
        <v>2021.748</v>
      </c>
      <c r="E88">
        <v>54.957845510260299</v>
      </c>
      <c r="F88">
        <v>10.215517115710901</v>
      </c>
      <c r="G88">
        <v>0</v>
      </c>
      <c r="H88">
        <v>0</v>
      </c>
      <c r="I88" s="72">
        <f t="shared" si="4"/>
        <v>65.173362625971194</v>
      </c>
    </row>
    <row r="89" spans="1:9" x14ac:dyDescent="0.3">
      <c r="A89">
        <v>2021</v>
      </c>
      <c r="B89">
        <v>10</v>
      </c>
      <c r="C89">
        <v>31</v>
      </c>
      <c r="D89">
        <v>2021.8330000000001</v>
      </c>
      <c r="E89">
        <v>55.357404785526199</v>
      </c>
      <c r="F89">
        <v>10.3788597247319</v>
      </c>
      <c r="G89">
        <v>0</v>
      </c>
      <c r="H89">
        <v>0</v>
      </c>
      <c r="I89" s="72">
        <f t="shared" si="4"/>
        <v>65.736264510258096</v>
      </c>
    </row>
    <row r="90" spans="1:9" x14ac:dyDescent="0.3">
      <c r="A90">
        <v>2021</v>
      </c>
      <c r="B90">
        <v>11</v>
      </c>
      <c r="C90">
        <v>30</v>
      </c>
      <c r="D90">
        <v>2021.915</v>
      </c>
      <c r="E90">
        <v>55.742496895834201</v>
      </c>
      <c r="F90">
        <v>10.526227625336199</v>
      </c>
      <c r="G90">
        <v>0</v>
      </c>
      <c r="H90">
        <v>0</v>
      </c>
      <c r="I90" s="72">
        <f t="shared" si="4"/>
        <v>66.268724521170398</v>
      </c>
    </row>
    <row r="91" spans="1:9" x14ac:dyDescent="0.3">
      <c r="A91">
        <v>2021</v>
      </c>
      <c r="B91">
        <v>12</v>
      </c>
      <c r="C91">
        <v>31</v>
      </c>
      <c r="D91">
        <v>2022</v>
      </c>
      <c r="E91">
        <v>56.138794009243099</v>
      </c>
      <c r="F91">
        <v>10.672326652149</v>
      </c>
      <c r="G91">
        <v>0</v>
      </c>
      <c r="H91">
        <v>0</v>
      </c>
      <c r="I91" s="72">
        <f t="shared" si="4"/>
        <v>66.811120661392096</v>
      </c>
    </row>
    <row r="92" spans="1:9" x14ac:dyDescent="0.3">
      <c r="A92">
        <v>2022</v>
      </c>
      <c r="B92">
        <v>1</v>
      </c>
      <c r="C92">
        <v>31</v>
      </c>
      <c r="D92">
        <v>2022.085</v>
      </c>
      <c r="E92">
        <v>56.533432667947203</v>
      </c>
      <c r="F92">
        <v>10.815670560194601</v>
      </c>
      <c r="G92">
        <v>0</v>
      </c>
      <c r="H92">
        <v>0</v>
      </c>
      <c r="I92" s="72">
        <f t="shared" si="4"/>
        <v>67.3491032281418</v>
      </c>
    </row>
    <row r="93" spans="1:9" x14ac:dyDescent="0.3">
      <c r="A93">
        <v>2022</v>
      </c>
      <c r="B93">
        <v>2</v>
      </c>
      <c r="C93">
        <v>28</v>
      </c>
      <c r="D93">
        <v>2022.162</v>
      </c>
      <c r="E93">
        <v>56.8884550195705</v>
      </c>
      <c r="F93">
        <v>10.9435027822344</v>
      </c>
      <c r="G93">
        <v>0</v>
      </c>
      <c r="H93">
        <v>0</v>
      </c>
      <c r="I93" s="72">
        <f t="shared" si="4"/>
        <v>67.831957801804904</v>
      </c>
    </row>
    <row r="94" spans="1:9" x14ac:dyDescent="0.3">
      <c r="A94">
        <v>2022</v>
      </c>
      <c r="B94">
        <v>3</v>
      </c>
      <c r="C94">
        <v>31</v>
      </c>
      <c r="D94">
        <v>2022.2470000000001</v>
      </c>
      <c r="E94">
        <v>57.279937580007598</v>
      </c>
      <c r="F94">
        <v>11.0859270948219</v>
      </c>
      <c r="G94">
        <v>0</v>
      </c>
      <c r="H94">
        <v>0</v>
      </c>
      <c r="I94" s="72">
        <f t="shared" si="4"/>
        <v>68.365864674829496</v>
      </c>
    </row>
    <row r="95" spans="1:9" x14ac:dyDescent="0.3">
      <c r="A95">
        <v>2022</v>
      </c>
      <c r="B95">
        <v>4</v>
      </c>
      <c r="C95">
        <v>30</v>
      </c>
      <c r="D95">
        <v>2022.329</v>
      </c>
      <c r="E95">
        <v>57.656554674015801</v>
      </c>
      <c r="F95">
        <v>11.229303739870399</v>
      </c>
      <c r="G95">
        <v>0</v>
      </c>
      <c r="H95">
        <v>0</v>
      </c>
      <c r="I95" s="72">
        <f t="shared" si="4"/>
        <v>68.885858413886197</v>
      </c>
    </row>
    <row r="96" spans="1:9" x14ac:dyDescent="0.3">
      <c r="A96">
        <v>2022</v>
      </c>
      <c r="B96">
        <v>5</v>
      </c>
      <c r="C96">
        <v>31</v>
      </c>
      <c r="D96">
        <v>2022.414</v>
      </c>
      <c r="E96">
        <v>58.044050079652799</v>
      </c>
      <c r="F96">
        <v>11.376133873575601</v>
      </c>
      <c r="G96">
        <v>0</v>
      </c>
      <c r="H96">
        <v>0</v>
      </c>
      <c r="I96" s="72">
        <f t="shared" si="4"/>
        <v>69.420183953228403</v>
      </c>
    </row>
    <row r="97" spans="1:9" x14ac:dyDescent="0.3">
      <c r="A97">
        <v>2022</v>
      </c>
      <c r="B97">
        <v>6</v>
      </c>
      <c r="C97">
        <v>30</v>
      </c>
      <c r="D97">
        <v>2022.4960000000001</v>
      </c>
      <c r="E97">
        <v>58.417472356771398</v>
      </c>
      <c r="F97">
        <v>11.5445357181086</v>
      </c>
      <c r="G97">
        <v>0</v>
      </c>
      <c r="H97">
        <v>0</v>
      </c>
      <c r="I97" s="106">
        <f t="shared" si="4"/>
        <v>69.962008074880004</v>
      </c>
    </row>
    <row r="98" spans="1:9" x14ac:dyDescent="0.3">
      <c r="A98">
        <v>2022</v>
      </c>
      <c r="B98">
        <v>7</v>
      </c>
      <c r="C98">
        <v>31</v>
      </c>
      <c r="D98">
        <v>2022.5809999999999</v>
      </c>
      <c r="E98">
        <v>58.801717746404897</v>
      </c>
      <c r="F98">
        <v>11.729437659253099</v>
      </c>
      <c r="G98">
        <v>0</v>
      </c>
      <c r="H98">
        <v>0</v>
      </c>
      <c r="I98" s="72">
        <f t="shared" si="4"/>
        <v>70.531155405657998</v>
      </c>
    </row>
    <row r="99" spans="1:9" x14ac:dyDescent="0.3">
      <c r="A99">
        <v>2022</v>
      </c>
      <c r="B99">
        <v>8</v>
      </c>
      <c r="C99">
        <v>31</v>
      </c>
      <c r="D99">
        <v>2022.6659999999999</v>
      </c>
      <c r="E99">
        <v>59.184313917059796</v>
      </c>
      <c r="F99">
        <v>11.938062081242499</v>
      </c>
      <c r="G99">
        <v>0</v>
      </c>
      <c r="H99">
        <v>0</v>
      </c>
      <c r="I99" s="72">
        <f t="shared" si="4"/>
        <v>71.122375998302289</v>
      </c>
    </row>
    <row r="100" spans="1:9" x14ac:dyDescent="0.3">
      <c r="A100">
        <v>2022</v>
      </c>
      <c r="B100">
        <v>9</v>
      </c>
      <c r="C100">
        <v>30</v>
      </c>
      <c r="D100">
        <v>2022.748</v>
      </c>
      <c r="E100">
        <v>59.552999859273299</v>
      </c>
      <c r="F100">
        <v>12.1286376070621</v>
      </c>
      <c r="G100">
        <v>0</v>
      </c>
      <c r="H100">
        <v>0</v>
      </c>
      <c r="I100" s="72">
        <f t="shared" si="4"/>
        <v>71.681637466335403</v>
      </c>
    </row>
    <row r="101" spans="1:9" x14ac:dyDescent="0.3">
      <c r="A101">
        <v>2022</v>
      </c>
      <c r="B101">
        <v>10</v>
      </c>
      <c r="C101">
        <v>31</v>
      </c>
      <c r="D101">
        <v>2022.8330000000001</v>
      </c>
      <c r="E101">
        <v>59.9323567934983</v>
      </c>
      <c r="F101">
        <v>12.262883163233999</v>
      </c>
      <c r="G101">
        <v>0</v>
      </c>
      <c r="H101">
        <v>0</v>
      </c>
      <c r="I101" s="72">
        <f t="shared" si="4"/>
        <v>72.195239956732294</v>
      </c>
    </row>
    <row r="102" spans="1:9" x14ac:dyDescent="0.3">
      <c r="A102">
        <v>2022</v>
      </c>
      <c r="B102">
        <v>11</v>
      </c>
      <c r="C102">
        <v>30</v>
      </c>
      <c r="D102">
        <v>2022.915</v>
      </c>
      <c r="E102">
        <v>60.297912359419897</v>
      </c>
      <c r="F102">
        <v>12.381315810927401</v>
      </c>
      <c r="G102">
        <v>0</v>
      </c>
      <c r="H102">
        <v>0</v>
      </c>
      <c r="I102" s="72">
        <f t="shared" si="4"/>
        <v>72.679228170347301</v>
      </c>
    </row>
    <row r="103" spans="1:9" x14ac:dyDescent="0.3">
      <c r="A103">
        <v>2022</v>
      </c>
      <c r="B103">
        <v>12</v>
      </c>
      <c r="C103">
        <v>31</v>
      </c>
      <c r="D103">
        <v>2023</v>
      </c>
      <c r="E103">
        <v>60.6740395266009</v>
      </c>
      <c r="F103">
        <v>12.4976108362131</v>
      </c>
      <c r="G103">
        <v>0</v>
      </c>
      <c r="H103">
        <v>0</v>
      </c>
      <c r="I103" s="72">
        <f>E103+F103</f>
        <v>73.171650362814006</v>
      </c>
    </row>
    <row r="104" spans="1:9" x14ac:dyDescent="0.3">
      <c r="A104">
        <v>2023</v>
      </c>
      <c r="B104">
        <v>1</v>
      </c>
      <c r="C104">
        <v>31</v>
      </c>
      <c r="D104">
        <v>2023.085</v>
      </c>
      <c r="E104">
        <v>61.048529510906498</v>
      </c>
      <c r="F104">
        <v>12.6118391932715</v>
      </c>
      <c r="G104">
        <v>0</v>
      </c>
      <c r="H104">
        <v>0</v>
      </c>
      <c r="I104" s="72">
        <f t="shared" si="4"/>
        <v>73.660368704177998</v>
      </c>
    </row>
    <row r="105" spans="1:9" x14ac:dyDescent="0.3">
      <c r="A105">
        <v>2023</v>
      </c>
      <c r="B105">
        <v>2</v>
      </c>
      <c r="C105">
        <v>28</v>
      </c>
      <c r="D105">
        <v>2023.162</v>
      </c>
      <c r="E105">
        <v>61.385373902193997</v>
      </c>
      <c r="F105">
        <v>12.714057538128801</v>
      </c>
      <c r="G105">
        <v>0</v>
      </c>
      <c r="H105">
        <v>0</v>
      </c>
      <c r="I105" s="72">
        <f t="shared" si="4"/>
        <v>74.099431440322803</v>
      </c>
    </row>
    <row r="106" spans="1:9" x14ac:dyDescent="0.3">
      <c r="A106">
        <v>2023</v>
      </c>
      <c r="B106">
        <v>3</v>
      </c>
      <c r="C106">
        <v>31</v>
      </c>
      <c r="D106">
        <v>2023.2470000000001</v>
      </c>
      <c r="E106">
        <v>61.756756662693299</v>
      </c>
      <c r="F106">
        <v>12.829214689741001</v>
      </c>
      <c r="G106">
        <v>0</v>
      </c>
      <c r="H106">
        <v>0</v>
      </c>
      <c r="I106" s="72">
        <f t="shared" si="4"/>
        <v>74.585971352434299</v>
      </c>
    </row>
    <row r="107" spans="1:9" x14ac:dyDescent="0.3">
      <c r="A107">
        <v>2023</v>
      </c>
      <c r="B107">
        <v>4</v>
      </c>
      <c r="C107">
        <v>30</v>
      </c>
      <c r="D107">
        <v>2023.329</v>
      </c>
      <c r="E107">
        <v>62.114065936679701</v>
      </c>
      <c r="F107">
        <v>12.947989733930401</v>
      </c>
      <c r="G107">
        <v>0</v>
      </c>
      <c r="H107">
        <v>0</v>
      </c>
      <c r="I107" s="72">
        <f t="shared" si="4"/>
        <v>75.062055670610107</v>
      </c>
    </row>
    <row r="108" spans="1:9" x14ac:dyDescent="0.3">
      <c r="A108">
        <v>2023</v>
      </c>
      <c r="B108">
        <v>5</v>
      </c>
      <c r="C108">
        <v>31</v>
      </c>
      <c r="D108">
        <v>2023.414</v>
      </c>
      <c r="E108">
        <v>62.481650007529197</v>
      </c>
      <c r="F108">
        <v>13.070004488700199</v>
      </c>
      <c r="G108">
        <v>0</v>
      </c>
      <c r="H108">
        <v>0</v>
      </c>
      <c r="I108" s="72">
        <f t="shared" si="4"/>
        <v>75.551654496229389</v>
      </c>
    </row>
    <row r="109" spans="1:9" x14ac:dyDescent="0.3">
      <c r="A109">
        <v>2023</v>
      </c>
      <c r="B109">
        <v>6</v>
      </c>
      <c r="C109">
        <v>30</v>
      </c>
      <c r="D109">
        <v>2023.4960000000001</v>
      </c>
      <c r="E109">
        <v>62.835836236348499</v>
      </c>
      <c r="F109">
        <v>13.2189245663079</v>
      </c>
      <c r="G109">
        <v>0</v>
      </c>
      <c r="H109">
        <v>0</v>
      </c>
      <c r="I109" s="106">
        <f t="shared" si="4"/>
        <v>76.054760802656403</v>
      </c>
    </row>
    <row r="110" spans="1:9" x14ac:dyDescent="0.3">
      <c r="A110">
        <v>2023</v>
      </c>
      <c r="B110">
        <v>7</v>
      </c>
      <c r="C110">
        <v>31</v>
      </c>
      <c r="D110">
        <v>2023.5809999999999</v>
      </c>
      <c r="E110">
        <v>63.200240909410503</v>
      </c>
      <c r="F110">
        <v>13.385743195474401</v>
      </c>
      <c r="G110">
        <v>0</v>
      </c>
      <c r="H110">
        <v>0</v>
      </c>
      <c r="I110" s="72">
        <f t="shared" si="4"/>
        <v>76.585984104884901</v>
      </c>
    </row>
    <row r="111" spans="1:9" x14ac:dyDescent="0.3">
      <c r="A111">
        <v>2023</v>
      </c>
      <c r="B111">
        <v>8</v>
      </c>
      <c r="C111">
        <v>31</v>
      </c>
      <c r="D111">
        <v>2023.6659999999999</v>
      </c>
      <c r="E111">
        <v>63.563035883174301</v>
      </c>
      <c r="F111">
        <v>13.5802205795863</v>
      </c>
      <c r="G111">
        <v>0</v>
      </c>
      <c r="H111">
        <v>0</v>
      </c>
      <c r="I111" s="72">
        <f t="shared" si="4"/>
        <v>77.143256462760604</v>
      </c>
    </row>
    <row r="112" spans="1:9" x14ac:dyDescent="0.3">
      <c r="A112">
        <v>2023</v>
      </c>
      <c r="B112">
        <v>9</v>
      </c>
      <c r="C112">
        <v>30</v>
      </c>
      <c r="D112">
        <v>2023.748</v>
      </c>
      <c r="E112">
        <v>63.912599185517799</v>
      </c>
      <c r="F112">
        <v>13.756634456546101</v>
      </c>
      <c r="G112">
        <v>0</v>
      </c>
      <c r="H112">
        <v>0</v>
      </c>
      <c r="I112" s="72">
        <f t="shared" si="4"/>
        <v>77.669233642063901</v>
      </c>
    </row>
    <row r="113" spans="1:9" x14ac:dyDescent="0.3">
      <c r="A113">
        <v>2023</v>
      </c>
      <c r="B113">
        <v>10</v>
      </c>
      <c r="C113">
        <v>31</v>
      </c>
      <c r="D113">
        <v>2023.8330000000001</v>
      </c>
      <c r="E113">
        <v>64.272239354518504</v>
      </c>
      <c r="F113">
        <v>13.868690264229301</v>
      </c>
      <c r="G113">
        <v>0</v>
      </c>
      <c r="H113">
        <v>0</v>
      </c>
      <c r="I113" s="72">
        <f t="shared" si="4"/>
        <v>78.140929618747805</v>
      </c>
    </row>
    <row r="114" spans="1:9" x14ac:dyDescent="0.3">
      <c r="A114">
        <v>2023</v>
      </c>
      <c r="B114">
        <v>11</v>
      </c>
      <c r="C114">
        <v>30</v>
      </c>
      <c r="D114">
        <v>2023.915</v>
      </c>
      <c r="E114">
        <v>64.618758061561394</v>
      </c>
      <c r="F114">
        <v>13.964918428577301</v>
      </c>
      <c r="G114">
        <v>0</v>
      </c>
      <c r="H114">
        <v>0</v>
      </c>
      <c r="I114" s="72">
        <f t="shared" si="4"/>
        <v>78.5836764901387</v>
      </c>
    </row>
    <row r="115" spans="1:9" x14ac:dyDescent="0.3">
      <c r="A115">
        <v>2023</v>
      </c>
      <c r="B115">
        <v>12</v>
      </c>
      <c r="C115">
        <v>31</v>
      </c>
      <c r="D115">
        <v>2024</v>
      </c>
      <c r="E115">
        <v>64.975261136761105</v>
      </c>
      <c r="F115">
        <v>14.0582565919276</v>
      </c>
      <c r="G115">
        <v>0</v>
      </c>
      <c r="H115">
        <v>0</v>
      </c>
      <c r="I115" s="72">
        <f t="shared" si="4"/>
        <v>79.033517728688707</v>
      </c>
    </row>
    <row r="116" spans="1:9" x14ac:dyDescent="0.3">
      <c r="A116">
        <v>2024</v>
      </c>
      <c r="B116">
        <v>1</v>
      </c>
      <c r="C116">
        <v>31</v>
      </c>
      <c r="D116">
        <v>2024.085</v>
      </c>
      <c r="E116">
        <v>65.677824402071494</v>
      </c>
      <c r="F116">
        <v>14.150643550506</v>
      </c>
      <c r="G116">
        <v>0</v>
      </c>
      <c r="H116">
        <v>0</v>
      </c>
      <c r="I116" s="72">
        <f t="shared" si="4"/>
        <v>79.828467952577498</v>
      </c>
    </row>
    <row r="117" spans="1:9" x14ac:dyDescent="0.3">
      <c r="A117">
        <v>2024</v>
      </c>
      <c r="B117">
        <v>2</v>
      </c>
      <c r="C117">
        <v>29</v>
      </c>
      <c r="D117">
        <v>2024.164</v>
      </c>
      <c r="E117">
        <v>66.334263990588198</v>
      </c>
      <c r="F117">
        <v>14.2379322905826</v>
      </c>
      <c r="G117">
        <v>0</v>
      </c>
      <c r="H117">
        <v>0</v>
      </c>
      <c r="I117" s="72">
        <f t="shared" si="4"/>
        <v>80.572196281170804</v>
      </c>
    </row>
    <row r="118" spans="1:9" x14ac:dyDescent="0.3">
      <c r="A118">
        <v>2024</v>
      </c>
      <c r="B118">
        <v>3</v>
      </c>
      <c r="C118">
        <v>31</v>
      </c>
      <c r="D118">
        <v>2024.249</v>
      </c>
      <c r="E118">
        <v>67.029397457252102</v>
      </c>
      <c r="F118">
        <v>14.335362468338101</v>
      </c>
      <c r="G118">
        <v>0</v>
      </c>
      <c r="H118">
        <v>0</v>
      </c>
      <c r="I118" s="72">
        <f t="shared" si="4"/>
        <v>81.364759925590207</v>
      </c>
    </row>
    <row r="119" spans="1:9" x14ac:dyDescent="0.3">
      <c r="A119">
        <v>2024</v>
      </c>
      <c r="B119">
        <v>4</v>
      </c>
      <c r="C119">
        <v>30</v>
      </c>
      <c r="D119">
        <v>2024.3309999999999</v>
      </c>
      <c r="E119">
        <v>67.6961872475338</v>
      </c>
      <c r="F119">
        <v>14.438882164892799</v>
      </c>
      <c r="G119">
        <v>0</v>
      </c>
      <c r="H119">
        <v>0</v>
      </c>
      <c r="I119" s="72">
        <f t="shared" si="4"/>
        <v>82.135069412426603</v>
      </c>
    </row>
    <row r="120" spans="1:9" x14ac:dyDescent="0.3">
      <c r="A120">
        <v>2024</v>
      </c>
      <c r="B120">
        <v>5</v>
      </c>
      <c r="C120">
        <v>31</v>
      </c>
      <c r="D120">
        <v>2024.415</v>
      </c>
      <c r="E120">
        <v>68.379129658273897</v>
      </c>
      <c r="F120">
        <v>14.5484674367345</v>
      </c>
      <c r="G120">
        <v>0</v>
      </c>
      <c r="H120">
        <v>0</v>
      </c>
      <c r="I120" s="72">
        <f t="shared" si="4"/>
        <v>82.927597095008394</v>
      </c>
    </row>
    <row r="121" spans="1:9" x14ac:dyDescent="0.3">
      <c r="A121">
        <v>2024</v>
      </c>
      <c r="B121">
        <v>6</v>
      </c>
      <c r="C121">
        <v>30</v>
      </c>
      <c r="D121">
        <v>2024.4970000000001</v>
      </c>
      <c r="E121">
        <v>69.034206891485397</v>
      </c>
      <c r="F121">
        <v>14.6890058911083</v>
      </c>
      <c r="G121">
        <v>0</v>
      </c>
      <c r="H121">
        <v>0</v>
      </c>
      <c r="I121" s="106">
        <f t="shared" si="4"/>
        <v>83.723212782593691</v>
      </c>
    </row>
    <row r="122" spans="1:9" x14ac:dyDescent="0.3">
      <c r="A122">
        <v>2024</v>
      </c>
      <c r="B122">
        <v>7</v>
      </c>
      <c r="C122">
        <v>31</v>
      </c>
      <c r="D122">
        <v>2024.5820000000001</v>
      </c>
      <c r="E122">
        <v>69.705136837541104</v>
      </c>
      <c r="F122">
        <v>14.8505541573888</v>
      </c>
      <c r="G122">
        <v>0</v>
      </c>
      <c r="H122">
        <v>0</v>
      </c>
      <c r="I122" s="72">
        <f t="shared" si="4"/>
        <v>84.555690994929904</v>
      </c>
    </row>
    <row r="123" spans="1:9" x14ac:dyDescent="0.3">
      <c r="A123">
        <v>2024</v>
      </c>
      <c r="B123">
        <v>8</v>
      </c>
      <c r="C123">
        <v>31</v>
      </c>
      <c r="D123">
        <v>2024.6669999999999</v>
      </c>
      <c r="E123">
        <v>70.369627433194097</v>
      </c>
      <c r="F123">
        <v>15.0424279370866</v>
      </c>
      <c r="G123">
        <v>0</v>
      </c>
      <c r="H123">
        <v>0</v>
      </c>
      <c r="I123" s="72">
        <f t="shared" si="4"/>
        <v>85.412055370280697</v>
      </c>
    </row>
    <row r="124" spans="1:9" x14ac:dyDescent="0.3">
      <c r="A124">
        <v>2024</v>
      </c>
      <c r="B124">
        <v>9</v>
      </c>
      <c r="C124">
        <v>30</v>
      </c>
      <c r="D124">
        <v>2024.749</v>
      </c>
      <c r="E124">
        <v>71.006570989777202</v>
      </c>
      <c r="F124">
        <v>15.214392421743399</v>
      </c>
      <c r="G124">
        <v>0</v>
      </c>
      <c r="H124">
        <v>0</v>
      </c>
      <c r="I124" s="72">
        <f t="shared" si="4"/>
        <v>86.2209634115206</v>
      </c>
    </row>
    <row r="125" spans="1:9" x14ac:dyDescent="0.3">
      <c r="A125">
        <v>2024</v>
      </c>
      <c r="B125">
        <v>10</v>
      </c>
      <c r="C125">
        <v>31</v>
      </c>
      <c r="D125">
        <v>2024.8330000000001</v>
      </c>
      <c r="E125">
        <v>71.658914174188595</v>
      </c>
      <c r="F125">
        <v>15.3184669915748</v>
      </c>
      <c r="G125">
        <v>0</v>
      </c>
      <c r="H125">
        <v>0</v>
      </c>
      <c r="I125" s="72">
        <f t="shared" si="4"/>
        <v>86.97738116576339</v>
      </c>
    </row>
    <row r="126" spans="1:9" x14ac:dyDescent="0.3">
      <c r="A126">
        <v>2024</v>
      </c>
      <c r="B126">
        <v>11</v>
      </c>
      <c r="C126">
        <v>30</v>
      </c>
      <c r="D126">
        <v>2024.915</v>
      </c>
      <c r="E126">
        <v>72.284617706156595</v>
      </c>
      <c r="F126">
        <v>15.4070779094711</v>
      </c>
      <c r="G126">
        <v>0</v>
      </c>
      <c r="H126">
        <v>0</v>
      </c>
      <c r="I126" s="72">
        <f t="shared" si="4"/>
        <v>87.691695615627694</v>
      </c>
    </row>
    <row r="127" spans="1:9" x14ac:dyDescent="0.3">
      <c r="A127">
        <v>2024</v>
      </c>
      <c r="B127">
        <v>12</v>
      </c>
      <c r="C127">
        <v>31</v>
      </c>
      <c r="D127">
        <v>2025</v>
      </c>
      <c r="E127">
        <v>72.9228729170881</v>
      </c>
      <c r="F127">
        <v>15.493313064213201</v>
      </c>
      <c r="G127">
        <v>0</v>
      </c>
      <c r="H127">
        <v>0</v>
      </c>
      <c r="I127" s="72">
        <f t="shared" si="4"/>
        <v>88.416185981301297</v>
      </c>
    </row>
    <row r="128" spans="1:9" x14ac:dyDescent="0.3">
      <c r="A128">
        <v>2025</v>
      </c>
      <c r="B128">
        <v>1</v>
      </c>
      <c r="C128">
        <v>31</v>
      </c>
      <c r="D128">
        <v>2025.085</v>
      </c>
      <c r="E128">
        <v>73.241129323312904</v>
      </c>
      <c r="F128">
        <v>15.5784347288341</v>
      </c>
      <c r="G128">
        <v>0</v>
      </c>
      <c r="H128">
        <v>0</v>
      </c>
      <c r="I128" s="72">
        <f t="shared" si="4"/>
        <v>88.819564052147001</v>
      </c>
    </row>
    <row r="129" spans="1:9" x14ac:dyDescent="0.3">
      <c r="A129">
        <v>2025</v>
      </c>
      <c r="B129">
        <v>2</v>
      </c>
      <c r="C129">
        <v>28</v>
      </c>
      <c r="D129">
        <v>2025.162</v>
      </c>
      <c r="E129">
        <v>73.527351130514703</v>
      </c>
      <c r="F129">
        <v>15.655005281684399</v>
      </c>
      <c r="G129">
        <v>0</v>
      </c>
      <c r="H129">
        <v>0</v>
      </c>
      <c r="I129" s="72">
        <f t="shared" si="4"/>
        <v>89.182356412199098</v>
      </c>
    </row>
    <row r="130" spans="1:9" x14ac:dyDescent="0.3">
      <c r="A130">
        <v>2025</v>
      </c>
      <c r="B130">
        <v>3</v>
      </c>
      <c r="C130">
        <v>31</v>
      </c>
      <c r="D130">
        <v>2025.2470000000001</v>
      </c>
      <c r="E130">
        <v>73.842877639417296</v>
      </c>
      <c r="F130">
        <v>15.743026691703999</v>
      </c>
      <c r="G130">
        <v>0</v>
      </c>
      <c r="H130">
        <v>0</v>
      </c>
      <c r="I130" s="72">
        <f t="shared" si="4"/>
        <v>89.585904331121299</v>
      </c>
    </row>
    <row r="131" spans="1:9" x14ac:dyDescent="0.3">
      <c r="A131">
        <v>2025</v>
      </c>
      <c r="B131">
        <v>4</v>
      </c>
      <c r="C131">
        <v>30</v>
      </c>
      <c r="D131">
        <v>2025.329</v>
      </c>
      <c r="E131">
        <v>74.146549439213999</v>
      </c>
      <c r="F131">
        <v>15.837159009003701</v>
      </c>
      <c r="G131">
        <v>0</v>
      </c>
      <c r="H131">
        <v>0</v>
      </c>
      <c r="I131" s="72">
        <f t="shared" si="4"/>
        <v>89.983708448217698</v>
      </c>
    </row>
    <row r="132" spans="1:9" x14ac:dyDescent="0.3">
      <c r="A132">
        <v>2025</v>
      </c>
      <c r="B132">
        <v>5</v>
      </c>
      <c r="C132">
        <v>31</v>
      </c>
      <c r="D132">
        <v>2025.414</v>
      </c>
      <c r="E132">
        <v>74.458926123279596</v>
      </c>
      <c r="F132">
        <v>15.936005449502799</v>
      </c>
      <c r="G132">
        <v>0</v>
      </c>
      <c r="H132">
        <v>0</v>
      </c>
      <c r="I132" s="72">
        <f t="shared" si="4"/>
        <v>90.394931572782397</v>
      </c>
    </row>
    <row r="133" spans="1:9" x14ac:dyDescent="0.3">
      <c r="A133">
        <v>2025</v>
      </c>
      <c r="B133">
        <v>6</v>
      </c>
      <c r="C133">
        <v>30</v>
      </c>
      <c r="D133">
        <v>2025.4960000000001</v>
      </c>
      <c r="E133">
        <v>74.759883430274598</v>
      </c>
      <c r="F133">
        <v>16.0682173136023</v>
      </c>
      <c r="G133">
        <v>0</v>
      </c>
      <c r="H133">
        <v>0</v>
      </c>
      <c r="I133" s="106">
        <f t="shared" si="4"/>
        <v>90.828100743876902</v>
      </c>
    </row>
    <row r="134" spans="1:9" x14ac:dyDescent="0.3">
      <c r="A134">
        <v>2025</v>
      </c>
      <c r="B134">
        <v>7</v>
      </c>
      <c r="C134">
        <v>31</v>
      </c>
      <c r="D134">
        <v>2025.5809999999999</v>
      </c>
      <c r="E134">
        <v>75.069491655703004</v>
      </c>
      <c r="F134">
        <v>16.221400942045999</v>
      </c>
      <c r="G134">
        <v>0</v>
      </c>
      <c r="H134">
        <v>0</v>
      </c>
      <c r="I134" s="72">
        <f t="shared" si="4"/>
        <v>91.290892597749007</v>
      </c>
    </row>
    <row r="135" spans="1:9" x14ac:dyDescent="0.3">
      <c r="A135">
        <v>2025</v>
      </c>
      <c r="B135">
        <v>8</v>
      </c>
      <c r="C135">
        <v>31</v>
      </c>
      <c r="D135">
        <v>2025.6659999999999</v>
      </c>
      <c r="E135">
        <v>75.377702847146793</v>
      </c>
      <c r="F135">
        <v>16.4065785107728</v>
      </c>
      <c r="G135">
        <v>0</v>
      </c>
      <c r="H135">
        <v>0</v>
      </c>
      <c r="I135" s="72">
        <f t="shared" si="4"/>
        <v>91.784281357919596</v>
      </c>
    </row>
    <row r="136" spans="1:9" x14ac:dyDescent="0.3">
      <c r="A136">
        <v>2025</v>
      </c>
      <c r="B136">
        <v>9</v>
      </c>
      <c r="C136">
        <v>30</v>
      </c>
      <c r="D136">
        <v>2025.748</v>
      </c>
      <c r="E136">
        <v>75.674647874021304</v>
      </c>
      <c r="F136">
        <v>16.570191785348101</v>
      </c>
      <c r="G136">
        <v>0</v>
      </c>
      <c r="H136">
        <v>0</v>
      </c>
      <c r="I136" s="72">
        <f t="shared" si="4"/>
        <v>92.244839659369404</v>
      </c>
    </row>
    <row r="137" spans="1:9" x14ac:dyDescent="0.3">
      <c r="A137">
        <v>2025</v>
      </c>
      <c r="B137">
        <v>10</v>
      </c>
      <c r="C137">
        <v>31</v>
      </c>
      <c r="D137">
        <v>2025.8330000000001</v>
      </c>
      <c r="E137">
        <v>75.980129587430099</v>
      </c>
      <c r="F137">
        <v>16.658354790565799</v>
      </c>
      <c r="G137">
        <v>0</v>
      </c>
      <c r="H137">
        <v>0</v>
      </c>
      <c r="I137" s="72">
        <f t="shared" si="4"/>
        <v>92.638484377995894</v>
      </c>
    </row>
    <row r="138" spans="1:9" x14ac:dyDescent="0.3">
      <c r="A138">
        <v>2025</v>
      </c>
      <c r="B138">
        <v>11</v>
      </c>
      <c r="C138">
        <v>30</v>
      </c>
      <c r="D138">
        <v>2025.915</v>
      </c>
      <c r="E138">
        <v>76.274445736491998</v>
      </c>
      <c r="F138">
        <v>16.729821550437599</v>
      </c>
      <c r="G138">
        <v>0</v>
      </c>
      <c r="H138">
        <v>0</v>
      </c>
      <c r="I138" s="72">
        <f t="shared" si="4"/>
        <v>93.004267286929604</v>
      </c>
    </row>
    <row r="139" spans="1:9" x14ac:dyDescent="0.3">
      <c r="A139">
        <v>2025</v>
      </c>
      <c r="B139">
        <v>12</v>
      </c>
      <c r="C139">
        <v>31</v>
      </c>
      <c r="D139">
        <v>2026</v>
      </c>
      <c r="E139">
        <v>76.577223931957306</v>
      </c>
      <c r="F139">
        <v>16.797203444334102</v>
      </c>
      <c r="G139">
        <v>0</v>
      </c>
      <c r="H139">
        <v>0</v>
      </c>
      <c r="I139" s="72">
        <f t="shared" ref="I139:I202" si="5">E139+F139</f>
        <v>93.374427376291408</v>
      </c>
    </row>
    <row r="140" spans="1:9" x14ac:dyDescent="0.3">
      <c r="A140">
        <v>2026</v>
      </c>
      <c r="B140">
        <v>1</v>
      </c>
      <c r="C140">
        <v>31</v>
      </c>
      <c r="D140">
        <v>2026.085</v>
      </c>
      <c r="E140">
        <v>76.8786381771084</v>
      </c>
      <c r="F140">
        <v>16.863339715554801</v>
      </c>
      <c r="G140">
        <v>0</v>
      </c>
      <c r="H140">
        <v>0</v>
      </c>
      <c r="I140" s="72">
        <f t="shared" si="5"/>
        <v>93.741977892663201</v>
      </c>
    </row>
    <row r="141" spans="1:9" x14ac:dyDescent="0.3">
      <c r="A141">
        <v>2026</v>
      </c>
      <c r="B141">
        <v>2</v>
      </c>
      <c r="C141">
        <v>28</v>
      </c>
      <c r="D141">
        <v>2026.162</v>
      </c>
      <c r="E141">
        <v>77.149716551472295</v>
      </c>
      <c r="F141">
        <v>16.923228496842899</v>
      </c>
      <c r="G141">
        <v>0</v>
      </c>
      <c r="H141">
        <v>0</v>
      </c>
      <c r="I141" s="72">
        <f t="shared" si="5"/>
        <v>94.072945048315191</v>
      </c>
    </row>
    <row r="142" spans="1:9" x14ac:dyDescent="0.3">
      <c r="A142">
        <v>2026</v>
      </c>
      <c r="B142">
        <v>3</v>
      </c>
      <c r="C142">
        <v>31</v>
      </c>
      <c r="D142">
        <v>2026.2470000000001</v>
      </c>
      <c r="E142">
        <v>77.448553474886197</v>
      </c>
      <c r="F142">
        <v>16.993532506449899</v>
      </c>
      <c r="G142">
        <v>0</v>
      </c>
      <c r="H142">
        <v>0</v>
      </c>
      <c r="I142" s="72">
        <f t="shared" si="5"/>
        <v>94.442085981336092</v>
      </c>
    </row>
    <row r="143" spans="1:9" x14ac:dyDescent="0.3">
      <c r="A143">
        <v>2026</v>
      </c>
      <c r="B143">
        <v>4</v>
      </c>
      <c r="C143">
        <v>30</v>
      </c>
      <c r="D143">
        <v>2026.329</v>
      </c>
      <c r="E143">
        <v>77.736198717233094</v>
      </c>
      <c r="F143">
        <v>17.071696843810798</v>
      </c>
      <c r="G143">
        <v>0</v>
      </c>
      <c r="H143">
        <v>0</v>
      </c>
      <c r="I143" s="72">
        <f t="shared" si="5"/>
        <v>94.807895561043892</v>
      </c>
    </row>
    <row r="144" spans="1:9" x14ac:dyDescent="0.3">
      <c r="A144">
        <v>2026</v>
      </c>
      <c r="B144">
        <v>5</v>
      </c>
      <c r="C144">
        <v>31</v>
      </c>
      <c r="D144">
        <v>2026.414</v>
      </c>
      <c r="E144">
        <v>78.032097119663305</v>
      </c>
      <c r="F144">
        <v>17.1545428481983</v>
      </c>
      <c r="G144">
        <v>0</v>
      </c>
      <c r="H144">
        <v>0</v>
      </c>
      <c r="I144" s="72">
        <f t="shared" si="5"/>
        <v>95.186639967861609</v>
      </c>
    </row>
    <row r="145" spans="1:9" x14ac:dyDescent="0.3">
      <c r="A145">
        <v>2026</v>
      </c>
      <c r="B145">
        <v>6</v>
      </c>
      <c r="C145">
        <v>30</v>
      </c>
      <c r="D145">
        <v>2026.4960000000001</v>
      </c>
      <c r="E145">
        <v>78.317184173032302</v>
      </c>
      <c r="F145">
        <v>17.274301141399501</v>
      </c>
      <c r="G145">
        <v>0</v>
      </c>
      <c r="H145">
        <v>0</v>
      </c>
      <c r="I145" s="106">
        <f t="shared" si="5"/>
        <v>95.591485314431807</v>
      </c>
    </row>
    <row r="146" spans="1:9" x14ac:dyDescent="0.3">
      <c r="A146">
        <v>2026</v>
      </c>
      <c r="B146">
        <v>7</v>
      </c>
      <c r="C146">
        <v>31</v>
      </c>
      <c r="D146">
        <v>2026.5809999999999</v>
      </c>
      <c r="E146">
        <v>78.610472223415101</v>
      </c>
      <c r="F146">
        <v>17.416051642766899</v>
      </c>
      <c r="G146">
        <v>0</v>
      </c>
      <c r="H146">
        <v>0</v>
      </c>
      <c r="I146" s="72">
        <f t="shared" si="5"/>
        <v>96.026523866182004</v>
      </c>
    </row>
    <row r="147" spans="1:9" x14ac:dyDescent="0.3">
      <c r="A147">
        <v>2026</v>
      </c>
      <c r="B147">
        <v>8</v>
      </c>
      <c r="C147">
        <v>31</v>
      </c>
      <c r="D147">
        <v>2026.6659999999999</v>
      </c>
      <c r="E147">
        <v>78.902443672743402</v>
      </c>
      <c r="F147">
        <v>17.592386759851301</v>
      </c>
      <c r="G147">
        <v>0</v>
      </c>
      <c r="H147">
        <v>0</v>
      </c>
      <c r="I147" s="72">
        <f t="shared" si="5"/>
        <v>96.494830432594711</v>
      </c>
    </row>
    <row r="148" spans="1:9" x14ac:dyDescent="0.3">
      <c r="A148">
        <v>2026</v>
      </c>
      <c r="B148">
        <v>9</v>
      </c>
      <c r="C148">
        <v>30</v>
      </c>
      <c r="D148">
        <v>2026.748</v>
      </c>
      <c r="E148">
        <v>79.183749432570195</v>
      </c>
      <c r="F148">
        <v>17.7469244344801</v>
      </c>
      <c r="G148">
        <v>0</v>
      </c>
      <c r="H148">
        <v>0</v>
      </c>
      <c r="I148" s="72">
        <f t="shared" si="5"/>
        <v>96.930673867050302</v>
      </c>
    </row>
    <row r="149" spans="1:9" x14ac:dyDescent="0.3">
      <c r="A149">
        <v>2026</v>
      </c>
      <c r="B149">
        <v>10</v>
      </c>
      <c r="C149">
        <v>31</v>
      </c>
      <c r="D149">
        <v>2026.8330000000001</v>
      </c>
      <c r="E149">
        <v>79.473149749211203</v>
      </c>
      <c r="F149">
        <v>17.820652639878698</v>
      </c>
      <c r="G149">
        <v>0</v>
      </c>
      <c r="H149">
        <v>0</v>
      </c>
      <c r="I149" s="72">
        <f t="shared" si="5"/>
        <v>97.293802389089905</v>
      </c>
    </row>
    <row r="150" spans="1:9" x14ac:dyDescent="0.3">
      <c r="A150">
        <v>2026</v>
      </c>
      <c r="B150">
        <v>11</v>
      </c>
      <c r="C150">
        <v>30</v>
      </c>
      <c r="D150">
        <v>2026.915</v>
      </c>
      <c r="E150">
        <v>79.751979877689095</v>
      </c>
      <c r="F150">
        <v>17.877643761950701</v>
      </c>
      <c r="G150">
        <v>0</v>
      </c>
      <c r="H150">
        <v>0</v>
      </c>
      <c r="I150" s="72">
        <f t="shared" si="5"/>
        <v>97.629623639639789</v>
      </c>
    </row>
    <row r="151" spans="1:9" x14ac:dyDescent="0.3">
      <c r="A151">
        <v>2026</v>
      </c>
      <c r="B151">
        <v>12</v>
      </c>
      <c r="C151">
        <v>31</v>
      </c>
      <c r="D151">
        <v>2027</v>
      </c>
      <c r="E151">
        <v>80.038835007541806</v>
      </c>
      <c r="F151">
        <v>17.930051274598299</v>
      </c>
      <c r="G151">
        <v>0</v>
      </c>
      <c r="H151">
        <v>0</v>
      </c>
      <c r="I151" s="72">
        <f t="shared" si="5"/>
        <v>97.968886282140105</v>
      </c>
    </row>
    <row r="152" spans="1:9" x14ac:dyDescent="0.3">
      <c r="A152">
        <v>2027</v>
      </c>
      <c r="B152">
        <v>1</v>
      </c>
      <c r="C152">
        <v>31</v>
      </c>
      <c r="D152">
        <v>2027.085</v>
      </c>
      <c r="E152">
        <v>80.324406604309502</v>
      </c>
      <c r="F152">
        <v>17.9815263077015</v>
      </c>
      <c r="G152">
        <v>0</v>
      </c>
      <c r="H152">
        <v>0</v>
      </c>
      <c r="I152" s="72">
        <f t="shared" si="5"/>
        <v>98.305932912011002</v>
      </c>
    </row>
    <row r="153" spans="1:9" x14ac:dyDescent="0.3">
      <c r="A153">
        <v>2027</v>
      </c>
      <c r="B153">
        <v>2</v>
      </c>
      <c r="C153">
        <v>28</v>
      </c>
      <c r="D153">
        <v>2027.162</v>
      </c>
      <c r="E153">
        <v>80.5812445672575</v>
      </c>
      <c r="F153">
        <v>18.028501522965399</v>
      </c>
      <c r="G153">
        <v>0</v>
      </c>
      <c r="H153">
        <v>0</v>
      </c>
      <c r="I153" s="72">
        <f t="shared" si="5"/>
        <v>98.609746090222899</v>
      </c>
    </row>
    <row r="154" spans="1:9" x14ac:dyDescent="0.3">
      <c r="A154">
        <v>2027</v>
      </c>
      <c r="B154">
        <v>3</v>
      </c>
      <c r="C154">
        <v>31</v>
      </c>
      <c r="D154">
        <v>2027.2470000000001</v>
      </c>
      <c r="E154">
        <v>80.864391738527601</v>
      </c>
      <c r="F154">
        <v>18.085074207732301</v>
      </c>
      <c r="G154">
        <v>0</v>
      </c>
      <c r="H154">
        <v>0</v>
      </c>
      <c r="I154" s="72">
        <f t="shared" si="5"/>
        <v>98.949465946259906</v>
      </c>
    </row>
    <row r="155" spans="1:9" x14ac:dyDescent="0.3">
      <c r="A155">
        <v>2027</v>
      </c>
      <c r="B155">
        <v>4</v>
      </c>
      <c r="C155">
        <v>30</v>
      </c>
      <c r="D155">
        <v>2027.329</v>
      </c>
      <c r="E155">
        <v>81.1369692242979</v>
      </c>
      <c r="F155">
        <v>18.1508793502258</v>
      </c>
      <c r="G155">
        <v>0</v>
      </c>
      <c r="H155">
        <v>0</v>
      </c>
      <c r="I155" s="72">
        <f t="shared" si="5"/>
        <v>99.287848574523707</v>
      </c>
    </row>
    <row r="156" spans="1:9" x14ac:dyDescent="0.3">
      <c r="A156">
        <v>2027</v>
      </c>
      <c r="B156">
        <v>5</v>
      </c>
      <c r="C156">
        <v>31</v>
      </c>
      <c r="D156">
        <v>2027.414</v>
      </c>
      <c r="E156">
        <v>81.4173791719235</v>
      </c>
      <c r="F156">
        <v>18.221315658264398</v>
      </c>
      <c r="G156">
        <v>0</v>
      </c>
      <c r="H156">
        <v>0</v>
      </c>
      <c r="I156" s="72">
        <f t="shared" si="5"/>
        <v>99.638694830187902</v>
      </c>
    </row>
    <row r="157" spans="1:9" x14ac:dyDescent="0.3">
      <c r="A157">
        <v>2027</v>
      </c>
      <c r="B157">
        <v>6</v>
      </c>
      <c r="C157">
        <v>30</v>
      </c>
      <c r="D157">
        <v>2027.4960000000001</v>
      </c>
      <c r="E157">
        <v>81.687553401604006</v>
      </c>
      <c r="F157">
        <v>18.331573444629498</v>
      </c>
      <c r="G157">
        <v>0</v>
      </c>
      <c r="H157">
        <v>0</v>
      </c>
      <c r="I157" s="106">
        <f t="shared" si="5"/>
        <v>100.0191268462335</v>
      </c>
    </row>
    <row r="158" spans="1:9" x14ac:dyDescent="0.3">
      <c r="A158">
        <v>2027</v>
      </c>
      <c r="B158">
        <v>7</v>
      </c>
      <c r="C158">
        <v>31</v>
      </c>
      <c r="D158">
        <v>2027.5809999999999</v>
      </c>
      <c r="E158">
        <v>81.965509955669305</v>
      </c>
      <c r="F158">
        <v>18.464674563989099</v>
      </c>
      <c r="G158">
        <v>0</v>
      </c>
      <c r="H158">
        <v>0</v>
      </c>
      <c r="I158" s="72">
        <f t="shared" si="5"/>
        <v>100.43018451965841</v>
      </c>
    </row>
    <row r="159" spans="1:9" x14ac:dyDescent="0.3">
      <c r="A159">
        <v>2027</v>
      </c>
      <c r="B159">
        <v>8</v>
      </c>
      <c r="C159">
        <v>31</v>
      </c>
      <c r="D159">
        <v>2027.6659999999999</v>
      </c>
      <c r="E159">
        <v>82.2422294862684</v>
      </c>
      <c r="F159">
        <v>18.634514953655898</v>
      </c>
      <c r="G159">
        <v>0</v>
      </c>
      <c r="H159">
        <v>0</v>
      </c>
      <c r="I159" s="72">
        <f t="shared" si="5"/>
        <v>100.87674443992429</v>
      </c>
    </row>
    <row r="160" spans="1:9" x14ac:dyDescent="0.3">
      <c r="A160">
        <v>2027</v>
      </c>
      <c r="B160">
        <v>9</v>
      </c>
      <c r="C160">
        <v>30</v>
      </c>
      <c r="D160">
        <v>2027.748</v>
      </c>
      <c r="E160">
        <v>82.508850958915701</v>
      </c>
      <c r="F160">
        <v>18.782284740671201</v>
      </c>
      <c r="G160">
        <v>0</v>
      </c>
      <c r="H160">
        <v>0</v>
      </c>
      <c r="I160" s="72">
        <f t="shared" si="5"/>
        <v>101.2911356995869</v>
      </c>
    </row>
    <row r="161" spans="1:9" x14ac:dyDescent="0.3">
      <c r="A161">
        <v>2027</v>
      </c>
      <c r="B161">
        <v>10</v>
      </c>
      <c r="C161">
        <v>31</v>
      </c>
      <c r="D161">
        <v>2027.8330000000001</v>
      </c>
      <c r="E161">
        <v>82.783155517688797</v>
      </c>
      <c r="F161">
        <v>18.844663086662798</v>
      </c>
      <c r="G161">
        <v>0</v>
      </c>
      <c r="H161">
        <v>0</v>
      </c>
      <c r="I161" s="72">
        <f t="shared" si="5"/>
        <v>101.6278186043516</v>
      </c>
    </row>
    <row r="162" spans="1:9" x14ac:dyDescent="0.3">
      <c r="A162">
        <v>2027</v>
      </c>
      <c r="B162">
        <v>11</v>
      </c>
      <c r="C162">
        <v>30</v>
      </c>
      <c r="D162">
        <v>2027.915</v>
      </c>
      <c r="E162">
        <v>83.047452184101104</v>
      </c>
      <c r="F162">
        <v>18.8901896000846</v>
      </c>
      <c r="G162">
        <v>0</v>
      </c>
      <c r="H162">
        <v>0</v>
      </c>
      <c r="I162" s="72">
        <f t="shared" si="5"/>
        <v>101.9376417841857</v>
      </c>
    </row>
    <row r="163" spans="1:9" x14ac:dyDescent="0.3">
      <c r="A163">
        <v>2027</v>
      </c>
      <c r="B163">
        <v>12</v>
      </c>
      <c r="C163">
        <v>31</v>
      </c>
      <c r="D163">
        <v>2028</v>
      </c>
      <c r="E163">
        <v>83.319367079950496</v>
      </c>
      <c r="F163">
        <v>18.930687229426699</v>
      </c>
      <c r="G163">
        <v>0</v>
      </c>
      <c r="H163">
        <v>0</v>
      </c>
      <c r="I163" s="72">
        <f t="shared" si="5"/>
        <v>102.25005430937719</v>
      </c>
    </row>
    <row r="164" spans="1:9" x14ac:dyDescent="0.3">
      <c r="A164">
        <v>2028</v>
      </c>
      <c r="B164">
        <v>1</v>
      </c>
      <c r="C164">
        <v>31</v>
      </c>
      <c r="D164">
        <v>2028.085</v>
      </c>
      <c r="E164">
        <v>83.590077209969493</v>
      </c>
      <c r="F164">
        <v>18.970472207312699</v>
      </c>
      <c r="G164">
        <v>0</v>
      </c>
      <c r="H164">
        <v>0</v>
      </c>
      <c r="I164" s="72">
        <f t="shared" si="5"/>
        <v>102.56054941728219</v>
      </c>
    </row>
    <row r="165" spans="1:9" x14ac:dyDescent="0.3">
      <c r="A165">
        <v>2028</v>
      </c>
      <c r="B165">
        <v>2</v>
      </c>
      <c r="C165">
        <v>29</v>
      </c>
      <c r="D165">
        <v>2028.164</v>
      </c>
      <c r="E165">
        <v>83.842237227068495</v>
      </c>
      <c r="F165">
        <v>19.008563837629399</v>
      </c>
      <c r="G165">
        <v>0</v>
      </c>
      <c r="H165">
        <v>0</v>
      </c>
      <c r="I165" s="72">
        <f t="shared" si="5"/>
        <v>102.85080106469789</v>
      </c>
    </row>
    <row r="166" spans="1:9" x14ac:dyDescent="0.3">
      <c r="A166">
        <v>2028</v>
      </c>
      <c r="B166">
        <v>3</v>
      </c>
      <c r="C166">
        <v>31</v>
      </c>
      <c r="D166">
        <v>2028.249</v>
      </c>
      <c r="E166">
        <v>84.110633939554106</v>
      </c>
      <c r="F166">
        <v>19.054601902973801</v>
      </c>
      <c r="G166">
        <v>0</v>
      </c>
      <c r="H166">
        <v>0</v>
      </c>
      <c r="I166" s="72">
        <f t="shared" si="5"/>
        <v>103.16523584252791</v>
      </c>
    </row>
    <row r="167" spans="1:9" x14ac:dyDescent="0.3">
      <c r="A167">
        <v>2028</v>
      </c>
      <c r="B167">
        <v>4</v>
      </c>
      <c r="C167">
        <v>30</v>
      </c>
      <c r="D167">
        <v>2028.3309999999999</v>
      </c>
      <c r="E167">
        <v>84.369036934711303</v>
      </c>
      <c r="F167">
        <v>19.110476577298801</v>
      </c>
      <c r="G167">
        <v>0</v>
      </c>
      <c r="H167">
        <v>0</v>
      </c>
      <c r="I167" s="72">
        <f t="shared" si="5"/>
        <v>103.4795135120101</v>
      </c>
    </row>
    <row r="168" spans="1:9" x14ac:dyDescent="0.3">
      <c r="A168">
        <v>2028</v>
      </c>
      <c r="B168">
        <v>5</v>
      </c>
      <c r="C168">
        <v>31</v>
      </c>
      <c r="D168">
        <v>2028.415</v>
      </c>
      <c r="E168">
        <v>84.6348864411638</v>
      </c>
      <c r="F168">
        <v>19.1726268423146</v>
      </c>
      <c r="G168">
        <v>0</v>
      </c>
      <c r="H168">
        <v>0</v>
      </c>
      <c r="I168" s="72">
        <f t="shared" si="5"/>
        <v>103.8075132834784</v>
      </c>
    </row>
    <row r="169" spans="1:9" x14ac:dyDescent="0.3">
      <c r="A169">
        <v>2028</v>
      </c>
      <c r="B169">
        <v>6</v>
      </c>
      <c r="C169">
        <v>30</v>
      </c>
      <c r="D169">
        <v>2028.4970000000001</v>
      </c>
      <c r="E169">
        <v>84.891043972180597</v>
      </c>
      <c r="F169">
        <v>19.275978449202199</v>
      </c>
      <c r="G169">
        <v>0</v>
      </c>
      <c r="H169">
        <v>0</v>
      </c>
      <c r="I169" s="106">
        <f t="shared" si="5"/>
        <v>104.1670224213828</v>
      </c>
    </row>
    <row r="170" spans="1:9" x14ac:dyDescent="0.3">
      <c r="A170">
        <v>2028</v>
      </c>
      <c r="B170">
        <v>7</v>
      </c>
      <c r="C170">
        <v>31</v>
      </c>
      <c r="D170">
        <v>2028.5820000000001</v>
      </c>
      <c r="E170">
        <v>85.154592894014598</v>
      </c>
      <c r="F170">
        <v>19.403808198114099</v>
      </c>
      <c r="G170">
        <v>0</v>
      </c>
      <c r="H170">
        <v>0</v>
      </c>
      <c r="I170" s="72">
        <f t="shared" si="5"/>
        <v>104.55840109212869</v>
      </c>
    </row>
    <row r="171" spans="1:9" x14ac:dyDescent="0.3">
      <c r="A171">
        <v>2028</v>
      </c>
      <c r="B171">
        <v>8</v>
      </c>
      <c r="C171">
        <v>31</v>
      </c>
      <c r="D171">
        <v>2028.6669999999999</v>
      </c>
      <c r="E171">
        <v>85.416982092163195</v>
      </c>
      <c r="F171">
        <v>19.568470151072599</v>
      </c>
      <c r="G171">
        <v>0</v>
      </c>
      <c r="H171">
        <v>0</v>
      </c>
      <c r="I171" s="72">
        <f t="shared" si="5"/>
        <v>104.9854522432358</v>
      </c>
    </row>
    <row r="172" spans="1:9" x14ac:dyDescent="0.3">
      <c r="A172">
        <v>2028</v>
      </c>
      <c r="B172">
        <v>9</v>
      </c>
      <c r="C172">
        <v>30</v>
      </c>
      <c r="D172">
        <v>2028.749</v>
      </c>
      <c r="E172">
        <v>85.669808865144205</v>
      </c>
      <c r="F172">
        <v>19.707656603020201</v>
      </c>
      <c r="G172">
        <v>0</v>
      </c>
      <c r="H172">
        <v>0</v>
      </c>
      <c r="I172" s="72">
        <f t="shared" si="5"/>
        <v>105.3774654681644</v>
      </c>
    </row>
    <row r="173" spans="1:9" x14ac:dyDescent="0.3">
      <c r="A173">
        <v>2028</v>
      </c>
      <c r="B173">
        <v>10</v>
      </c>
      <c r="C173">
        <v>31</v>
      </c>
      <c r="D173">
        <v>2028.8330000000001</v>
      </c>
      <c r="E173">
        <v>85.929934460255893</v>
      </c>
      <c r="F173">
        <v>19.760304545041201</v>
      </c>
      <c r="G173">
        <v>0</v>
      </c>
      <c r="H173">
        <v>0</v>
      </c>
      <c r="I173" s="72">
        <f t="shared" si="5"/>
        <v>105.69023900529709</v>
      </c>
    </row>
    <row r="174" spans="1:9" x14ac:dyDescent="0.3">
      <c r="A174">
        <v>2028</v>
      </c>
      <c r="B174">
        <v>11</v>
      </c>
      <c r="C174">
        <v>30</v>
      </c>
      <c r="D174">
        <v>2028.915</v>
      </c>
      <c r="E174">
        <v>86.180582425456194</v>
      </c>
      <c r="F174">
        <v>19.796253895864101</v>
      </c>
      <c r="G174">
        <v>0</v>
      </c>
      <c r="H174">
        <v>0</v>
      </c>
      <c r="I174" s="72">
        <f t="shared" si="5"/>
        <v>105.97683632132029</v>
      </c>
    </row>
    <row r="175" spans="1:9" x14ac:dyDescent="0.3">
      <c r="A175">
        <v>2028</v>
      </c>
      <c r="B175">
        <v>12</v>
      </c>
      <c r="C175">
        <v>31</v>
      </c>
      <c r="D175">
        <v>2029</v>
      </c>
      <c r="E175">
        <v>86.438468706805494</v>
      </c>
      <c r="F175">
        <v>19.8269924176623</v>
      </c>
      <c r="G175">
        <v>0</v>
      </c>
      <c r="H175">
        <v>0</v>
      </c>
      <c r="I175" s="72">
        <f t="shared" si="5"/>
        <v>106.26546112446779</v>
      </c>
    </row>
    <row r="176" spans="1:9" x14ac:dyDescent="0.3">
      <c r="A176">
        <v>2029</v>
      </c>
      <c r="B176">
        <v>1</v>
      </c>
      <c r="C176">
        <v>31</v>
      </c>
      <c r="D176">
        <v>2029.085</v>
      </c>
      <c r="E176">
        <v>86.695226223523903</v>
      </c>
      <c r="F176">
        <v>19.85722845499</v>
      </c>
      <c r="G176">
        <v>0</v>
      </c>
      <c r="H176">
        <v>0</v>
      </c>
      <c r="I176" s="72">
        <f t="shared" si="5"/>
        <v>106.5524546785139</v>
      </c>
    </row>
    <row r="177" spans="1:9" x14ac:dyDescent="0.3">
      <c r="A177">
        <v>2029</v>
      </c>
      <c r="B177">
        <v>2</v>
      </c>
      <c r="C177">
        <v>28</v>
      </c>
      <c r="D177">
        <v>2029.162</v>
      </c>
      <c r="E177">
        <v>86.926171197356794</v>
      </c>
      <c r="F177">
        <v>19.885573075304698</v>
      </c>
      <c r="G177">
        <v>0</v>
      </c>
      <c r="H177">
        <v>0</v>
      </c>
      <c r="I177" s="72">
        <f t="shared" si="5"/>
        <v>106.81174427266149</v>
      </c>
    </row>
    <row r="178" spans="1:9" x14ac:dyDescent="0.3">
      <c r="A178">
        <v>2029</v>
      </c>
      <c r="B178">
        <v>3</v>
      </c>
      <c r="C178">
        <v>31</v>
      </c>
      <c r="D178">
        <v>2029.2470000000001</v>
      </c>
      <c r="E178">
        <v>87.180797522061795</v>
      </c>
      <c r="F178">
        <v>19.922625097397098</v>
      </c>
      <c r="G178">
        <v>0</v>
      </c>
      <c r="H178">
        <v>0</v>
      </c>
      <c r="I178" s="72">
        <f t="shared" si="5"/>
        <v>107.1034226194589</v>
      </c>
    </row>
    <row r="179" spans="1:9" x14ac:dyDescent="0.3">
      <c r="A179">
        <v>2029</v>
      </c>
      <c r="B179">
        <v>4</v>
      </c>
      <c r="C179">
        <v>30</v>
      </c>
      <c r="D179">
        <v>2029.329</v>
      </c>
      <c r="E179">
        <v>87.425979980865307</v>
      </c>
      <c r="F179">
        <v>19.970425084794201</v>
      </c>
      <c r="G179">
        <v>0</v>
      </c>
      <c r="H179">
        <v>0</v>
      </c>
      <c r="I179" s="72">
        <f t="shared" si="5"/>
        <v>107.39640506565951</v>
      </c>
    </row>
    <row r="180" spans="1:9" x14ac:dyDescent="0.3">
      <c r="A180">
        <v>2029</v>
      </c>
      <c r="B180">
        <v>5</v>
      </c>
      <c r="C180">
        <v>31</v>
      </c>
      <c r="D180">
        <v>2029.414</v>
      </c>
      <c r="E180">
        <v>87.678236224486795</v>
      </c>
      <c r="F180">
        <v>20.024507755363601</v>
      </c>
      <c r="G180">
        <v>0</v>
      </c>
      <c r="H180">
        <v>0</v>
      </c>
      <c r="I180" s="72">
        <f t="shared" si="5"/>
        <v>107.7027439798504</v>
      </c>
    </row>
    <row r="181" spans="1:9" x14ac:dyDescent="0.3">
      <c r="A181">
        <v>2029</v>
      </c>
      <c r="B181">
        <v>6</v>
      </c>
      <c r="C181">
        <v>30</v>
      </c>
      <c r="D181">
        <v>2029.4960000000001</v>
      </c>
      <c r="E181">
        <v>87.921309670286206</v>
      </c>
      <c r="F181">
        <v>20.1218700516302</v>
      </c>
      <c r="G181">
        <v>0</v>
      </c>
      <c r="H181">
        <v>0</v>
      </c>
      <c r="I181" s="106">
        <f t="shared" si="5"/>
        <v>108.0431797219164</v>
      </c>
    </row>
    <row r="182" spans="1:9" x14ac:dyDescent="0.3">
      <c r="A182">
        <v>2029</v>
      </c>
      <c r="B182">
        <v>7</v>
      </c>
      <c r="C182">
        <v>31</v>
      </c>
      <c r="D182">
        <v>2029.5809999999999</v>
      </c>
      <c r="E182">
        <v>88.171411117014401</v>
      </c>
      <c r="F182">
        <v>20.244384458898001</v>
      </c>
      <c r="G182">
        <v>0</v>
      </c>
      <c r="H182">
        <v>0</v>
      </c>
      <c r="I182" s="72">
        <f t="shared" si="5"/>
        <v>108.4157955759124</v>
      </c>
    </row>
    <row r="183" spans="1:9" x14ac:dyDescent="0.3">
      <c r="A183">
        <v>2029</v>
      </c>
      <c r="B183">
        <v>8</v>
      </c>
      <c r="C183">
        <v>31</v>
      </c>
      <c r="D183">
        <v>2029.6659999999999</v>
      </c>
      <c r="E183">
        <v>88.420426474835693</v>
      </c>
      <c r="F183">
        <v>20.405274182221401</v>
      </c>
      <c r="G183">
        <v>0</v>
      </c>
      <c r="H183">
        <v>0</v>
      </c>
      <c r="I183" s="72">
        <f t="shared" si="5"/>
        <v>108.8257006570571</v>
      </c>
    </row>
    <row r="184" spans="1:9" x14ac:dyDescent="0.3">
      <c r="A184">
        <v>2029</v>
      </c>
      <c r="B184">
        <v>9</v>
      </c>
      <c r="C184">
        <v>30</v>
      </c>
      <c r="D184">
        <v>2029.748</v>
      </c>
      <c r="E184">
        <v>88.660380638650295</v>
      </c>
      <c r="F184">
        <v>20.5402784983422</v>
      </c>
      <c r="G184">
        <v>0</v>
      </c>
      <c r="H184">
        <v>0</v>
      </c>
      <c r="I184" s="72">
        <f t="shared" si="5"/>
        <v>109.2006591369925</v>
      </c>
    </row>
    <row r="185" spans="1:9" x14ac:dyDescent="0.3">
      <c r="A185">
        <v>2029</v>
      </c>
      <c r="B185">
        <v>10</v>
      </c>
      <c r="C185">
        <v>31</v>
      </c>
      <c r="D185">
        <v>2029.8330000000001</v>
      </c>
      <c r="E185">
        <v>88.907276375288504</v>
      </c>
      <c r="F185">
        <v>20.585306617943601</v>
      </c>
      <c r="G185">
        <v>0</v>
      </c>
      <c r="H185">
        <v>0</v>
      </c>
      <c r="I185" s="72">
        <f t="shared" si="5"/>
        <v>109.49258299323211</v>
      </c>
    </row>
    <row r="186" spans="1:9" x14ac:dyDescent="0.3">
      <c r="A186">
        <v>2029</v>
      </c>
      <c r="B186">
        <v>11</v>
      </c>
      <c r="C186">
        <v>30</v>
      </c>
      <c r="D186">
        <v>2029.915</v>
      </c>
      <c r="E186">
        <v>89.145190475330807</v>
      </c>
      <c r="F186">
        <v>20.613470907361201</v>
      </c>
      <c r="G186">
        <v>0</v>
      </c>
      <c r="H186">
        <v>0</v>
      </c>
      <c r="I186" s="72">
        <f t="shared" si="5"/>
        <v>109.75866138269201</v>
      </c>
    </row>
    <row r="187" spans="1:9" x14ac:dyDescent="0.3">
      <c r="A187">
        <v>2029</v>
      </c>
      <c r="B187">
        <v>12</v>
      </c>
      <c r="C187">
        <v>31</v>
      </c>
      <c r="D187">
        <v>2030</v>
      </c>
      <c r="E187">
        <v>89.389989647429601</v>
      </c>
      <c r="F187">
        <v>20.636072821258399</v>
      </c>
      <c r="G187">
        <v>0</v>
      </c>
      <c r="H187">
        <v>0</v>
      </c>
      <c r="I187" s="72">
        <f t="shared" si="5"/>
        <v>110.026062468688</v>
      </c>
    </row>
    <row r="188" spans="1:9" x14ac:dyDescent="0.3">
      <c r="A188">
        <v>2030</v>
      </c>
      <c r="B188">
        <v>1</v>
      </c>
      <c r="C188">
        <v>31</v>
      </c>
      <c r="D188">
        <v>2030.085</v>
      </c>
      <c r="E188">
        <v>89.633732119225897</v>
      </c>
      <c r="F188">
        <v>20.6582941287935</v>
      </c>
      <c r="G188">
        <v>0</v>
      </c>
      <c r="H188">
        <v>0</v>
      </c>
      <c r="I188" s="72">
        <f t="shared" si="5"/>
        <v>110.2920262480194</v>
      </c>
    </row>
    <row r="189" spans="1:9" x14ac:dyDescent="0.3">
      <c r="A189">
        <v>2030</v>
      </c>
      <c r="B189">
        <v>2</v>
      </c>
      <c r="C189">
        <v>28</v>
      </c>
      <c r="D189">
        <v>2030.162</v>
      </c>
      <c r="E189">
        <v>89.852983236946798</v>
      </c>
      <c r="F189">
        <v>20.679550246980799</v>
      </c>
      <c r="G189">
        <v>0</v>
      </c>
      <c r="H189">
        <v>0</v>
      </c>
      <c r="I189" s="72">
        <f t="shared" si="5"/>
        <v>110.53253348392759</v>
      </c>
    </row>
    <row r="190" spans="1:9" x14ac:dyDescent="0.3">
      <c r="A190">
        <v>2030</v>
      </c>
      <c r="B190">
        <v>3</v>
      </c>
      <c r="C190">
        <v>31</v>
      </c>
      <c r="D190">
        <v>2030.2470000000001</v>
      </c>
      <c r="E190">
        <v>90.094730763870203</v>
      </c>
      <c r="F190">
        <v>20.709066081559001</v>
      </c>
      <c r="G190">
        <v>0</v>
      </c>
      <c r="H190">
        <v>0</v>
      </c>
      <c r="I190" s="72">
        <f t="shared" si="5"/>
        <v>110.8037968454292</v>
      </c>
    </row>
    <row r="191" spans="1:9" x14ac:dyDescent="0.3">
      <c r="A191">
        <v>2030</v>
      </c>
      <c r="B191">
        <v>4</v>
      </c>
      <c r="C191">
        <v>30</v>
      </c>
      <c r="D191">
        <v>2030.329</v>
      </c>
      <c r="E191">
        <v>90.3275402761316</v>
      </c>
      <c r="F191">
        <v>20.750107891609201</v>
      </c>
      <c r="G191">
        <v>0</v>
      </c>
      <c r="H191">
        <v>0</v>
      </c>
      <c r="I191" s="72">
        <f t="shared" si="5"/>
        <v>111.0776481677408</v>
      </c>
    </row>
    <row r="192" spans="1:9" x14ac:dyDescent="0.3">
      <c r="A192">
        <v>2030</v>
      </c>
      <c r="B192">
        <v>5</v>
      </c>
      <c r="C192">
        <v>31</v>
      </c>
      <c r="D192">
        <v>2030.414</v>
      </c>
      <c r="E192">
        <v>90.567082339225905</v>
      </c>
      <c r="F192">
        <v>20.797435391838999</v>
      </c>
      <c r="G192">
        <v>0</v>
      </c>
      <c r="H192">
        <v>0</v>
      </c>
      <c r="I192" s="72">
        <f t="shared" si="5"/>
        <v>111.36451773106491</v>
      </c>
    </row>
    <row r="193" spans="1:9" x14ac:dyDescent="0.3">
      <c r="A193">
        <v>2030</v>
      </c>
      <c r="B193">
        <v>6</v>
      </c>
      <c r="C193">
        <v>30</v>
      </c>
      <c r="D193">
        <v>2030.4960000000001</v>
      </c>
      <c r="E193">
        <v>90.797918701257998</v>
      </c>
      <c r="F193">
        <v>20.889867978904</v>
      </c>
      <c r="G193">
        <v>0</v>
      </c>
      <c r="H193">
        <v>0</v>
      </c>
      <c r="I193" s="106">
        <f t="shared" si="5"/>
        <v>111.68778668016199</v>
      </c>
    </row>
    <row r="194" spans="1:9" x14ac:dyDescent="0.3">
      <c r="A194">
        <v>2030</v>
      </c>
      <c r="B194">
        <v>7</v>
      </c>
      <c r="C194">
        <v>31</v>
      </c>
      <c r="D194">
        <v>2030.5809999999999</v>
      </c>
      <c r="E194">
        <v>91.035444025625196</v>
      </c>
      <c r="F194">
        <v>21.008054289614101</v>
      </c>
      <c r="G194">
        <v>0</v>
      </c>
      <c r="H194">
        <v>0</v>
      </c>
      <c r="I194" s="72">
        <f t="shared" si="5"/>
        <v>112.0434983152393</v>
      </c>
    </row>
    <row r="195" spans="1:9" x14ac:dyDescent="0.3">
      <c r="A195">
        <v>2030</v>
      </c>
      <c r="B195">
        <v>8</v>
      </c>
      <c r="C195">
        <v>31</v>
      </c>
      <c r="D195">
        <v>2030.6659999999999</v>
      </c>
      <c r="E195">
        <v>91.271952917111406</v>
      </c>
      <c r="F195">
        <v>21.165982685967499</v>
      </c>
      <c r="G195">
        <v>0</v>
      </c>
      <c r="H195">
        <v>0</v>
      </c>
      <c r="I195" s="72">
        <f t="shared" si="5"/>
        <v>112.4379356030789</v>
      </c>
    </row>
    <row r="196" spans="1:9" x14ac:dyDescent="0.3">
      <c r="A196">
        <v>2030</v>
      </c>
      <c r="B196">
        <v>9</v>
      </c>
      <c r="C196">
        <v>30</v>
      </c>
      <c r="D196">
        <v>2030.748</v>
      </c>
      <c r="E196">
        <v>91.499870048168702</v>
      </c>
      <c r="F196">
        <v>21.297631204369601</v>
      </c>
      <c r="G196">
        <v>0</v>
      </c>
      <c r="H196">
        <v>0</v>
      </c>
      <c r="I196" s="72">
        <f t="shared" si="5"/>
        <v>112.7975012525383</v>
      </c>
    </row>
    <row r="197" spans="1:9" x14ac:dyDescent="0.3">
      <c r="A197">
        <v>2030</v>
      </c>
      <c r="B197">
        <v>10</v>
      </c>
      <c r="C197">
        <v>31</v>
      </c>
      <c r="D197">
        <v>2030.8330000000001</v>
      </c>
      <c r="E197">
        <v>91.734395381778199</v>
      </c>
      <c r="F197">
        <v>21.336219005455401</v>
      </c>
      <c r="G197">
        <v>0</v>
      </c>
      <c r="H197">
        <v>0</v>
      </c>
      <c r="I197" s="72">
        <f t="shared" si="5"/>
        <v>113.0706143872336</v>
      </c>
    </row>
    <row r="198" spans="1:9" x14ac:dyDescent="0.3">
      <c r="A198">
        <v>2030</v>
      </c>
      <c r="B198">
        <v>11</v>
      </c>
      <c r="C198">
        <v>30</v>
      </c>
      <c r="D198">
        <v>2030.915</v>
      </c>
      <c r="E198">
        <v>91.960403476967599</v>
      </c>
      <c r="F198">
        <v>21.3577667932819</v>
      </c>
      <c r="G198">
        <v>0</v>
      </c>
      <c r="H198">
        <v>0</v>
      </c>
      <c r="I198" s="72">
        <f t="shared" si="5"/>
        <v>113.3181702702495</v>
      </c>
    </row>
    <row r="199" spans="1:9" x14ac:dyDescent="0.3">
      <c r="A199">
        <v>2030</v>
      </c>
      <c r="B199">
        <v>12</v>
      </c>
      <c r="C199">
        <v>31</v>
      </c>
      <c r="D199">
        <v>2031</v>
      </c>
      <c r="E199">
        <v>92.192966970929405</v>
      </c>
      <c r="F199">
        <v>21.373433721028601</v>
      </c>
      <c r="G199">
        <v>0</v>
      </c>
      <c r="H199">
        <v>0</v>
      </c>
      <c r="I199" s="72">
        <f t="shared" si="5"/>
        <v>113.56640069195801</v>
      </c>
    </row>
    <row r="200" spans="1:9" x14ac:dyDescent="0.3">
      <c r="A200">
        <v>2031</v>
      </c>
      <c r="B200">
        <v>1</v>
      </c>
      <c r="C200">
        <v>31</v>
      </c>
      <c r="D200">
        <v>2031.085</v>
      </c>
      <c r="E200">
        <v>92.424541715078803</v>
      </c>
      <c r="F200">
        <v>21.388814523018699</v>
      </c>
      <c r="G200">
        <v>0</v>
      </c>
      <c r="H200">
        <v>0</v>
      </c>
      <c r="I200" s="72">
        <f t="shared" si="5"/>
        <v>113.8133562380975</v>
      </c>
    </row>
    <row r="201" spans="1:9" x14ac:dyDescent="0.3">
      <c r="A201">
        <v>2031</v>
      </c>
      <c r="B201">
        <v>2</v>
      </c>
      <c r="C201">
        <v>28</v>
      </c>
      <c r="D201">
        <v>2031.162</v>
      </c>
      <c r="E201">
        <v>92.632860741411804</v>
      </c>
      <c r="F201">
        <v>21.404015046977399</v>
      </c>
      <c r="G201">
        <v>0</v>
      </c>
      <c r="H201">
        <v>0</v>
      </c>
      <c r="I201" s="72">
        <f t="shared" si="5"/>
        <v>114.03687578838921</v>
      </c>
    </row>
    <row r="202" spans="1:9" x14ac:dyDescent="0.3">
      <c r="A202">
        <v>2031</v>
      </c>
      <c r="B202">
        <v>3</v>
      </c>
      <c r="C202">
        <v>31</v>
      </c>
      <c r="D202">
        <v>2031.2470000000001</v>
      </c>
      <c r="E202">
        <v>92.862568899456804</v>
      </c>
      <c r="F202">
        <v>21.427093857268201</v>
      </c>
      <c r="G202">
        <v>0</v>
      </c>
      <c r="H202">
        <v>0</v>
      </c>
      <c r="I202" s="72">
        <f t="shared" si="5"/>
        <v>114.28966275672501</v>
      </c>
    </row>
    <row r="203" spans="1:9" x14ac:dyDescent="0.3">
      <c r="A203">
        <v>2031</v>
      </c>
      <c r="B203">
        <v>4</v>
      </c>
      <c r="C203">
        <v>30</v>
      </c>
      <c r="D203">
        <v>2031.329</v>
      </c>
      <c r="E203">
        <v>93.0838102505232</v>
      </c>
      <c r="F203">
        <v>21.462375506431599</v>
      </c>
      <c r="G203">
        <v>0</v>
      </c>
      <c r="H203">
        <v>0</v>
      </c>
      <c r="I203" s="72">
        <f t="shared" ref="I203:I266" si="6">E203+F203</f>
        <v>114.5461857569548</v>
      </c>
    </row>
    <row r="204" spans="1:9" x14ac:dyDescent="0.3">
      <c r="A204">
        <v>2031</v>
      </c>
      <c r="B204">
        <v>5</v>
      </c>
      <c r="C204">
        <v>31</v>
      </c>
      <c r="D204">
        <v>2031.414</v>
      </c>
      <c r="E204">
        <v>93.311465376399994</v>
      </c>
      <c r="F204">
        <v>21.503944066910101</v>
      </c>
      <c r="G204">
        <v>0</v>
      </c>
      <c r="H204">
        <v>0</v>
      </c>
      <c r="I204" s="72">
        <f t="shared" si="6"/>
        <v>114.8154094433101</v>
      </c>
    </row>
    <row r="205" spans="1:9" x14ac:dyDescent="0.3">
      <c r="A205">
        <v>2031</v>
      </c>
      <c r="B205">
        <v>6</v>
      </c>
      <c r="C205">
        <v>30</v>
      </c>
      <c r="D205">
        <v>2031.4960000000001</v>
      </c>
      <c r="E205">
        <v>93.530861228163104</v>
      </c>
      <c r="F205">
        <v>21.5922436552442</v>
      </c>
      <c r="G205">
        <v>0</v>
      </c>
      <c r="H205">
        <v>0</v>
      </c>
      <c r="I205" s="106">
        <f t="shared" si="6"/>
        <v>115.12310488340731</v>
      </c>
    </row>
    <row r="206" spans="1:9" x14ac:dyDescent="0.3">
      <c r="A206">
        <v>2031</v>
      </c>
      <c r="B206">
        <v>7</v>
      </c>
      <c r="C206">
        <v>31</v>
      </c>
      <c r="D206">
        <v>2031.5809999999999</v>
      </c>
      <c r="E206">
        <v>93.756629425086004</v>
      </c>
      <c r="F206">
        <v>21.706840668721501</v>
      </c>
      <c r="G206">
        <v>0</v>
      </c>
      <c r="H206">
        <v>0</v>
      </c>
      <c r="I206" s="72">
        <f t="shared" si="6"/>
        <v>115.4634700938075</v>
      </c>
    </row>
    <row r="207" spans="1:9" x14ac:dyDescent="0.3">
      <c r="A207">
        <v>2031</v>
      </c>
      <c r="B207">
        <v>8</v>
      </c>
      <c r="C207">
        <v>31</v>
      </c>
      <c r="D207">
        <v>2031.6659999999999</v>
      </c>
      <c r="E207">
        <v>93.981446633931299</v>
      </c>
      <c r="F207">
        <v>21.862405792194401</v>
      </c>
      <c r="G207">
        <v>0</v>
      </c>
      <c r="H207">
        <v>0</v>
      </c>
      <c r="I207" s="72">
        <f t="shared" si="6"/>
        <v>115.84385242612569</v>
      </c>
    </row>
    <row r="208" spans="1:9" x14ac:dyDescent="0.3">
      <c r="A208">
        <v>2031</v>
      </c>
      <c r="B208">
        <v>9</v>
      </c>
      <c r="C208">
        <v>30</v>
      </c>
      <c r="D208">
        <v>2031.748</v>
      </c>
      <c r="E208">
        <v>94.198111212362605</v>
      </c>
      <c r="F208">
        <v>21.991313899353699</v>
      </c>
      <c r="G208">
        <v>0</v>
      </c>
      <c r="H208">
        <v>0</v>
      </c>
      <c r="I208" s="72">
        <f t="shared" si="6"/>
        <v>116.1894251117163</v>
      </c>
    </row>
    <row r="209" spans="1:9" x14ac:dyDescent="0.3">
      <c r="A209">
        <v>2031</v>
      </c>
      <c r="B209">
        <v>10</v>
      </c>
      <c r="C209">
        <v>31</v>
      </c>
      <c r="D209">
        <v>2031.8330000000001</v>
      </c>
      <c r="E209">
        <v>94.421072608567101</v>
      </c>
      <c r="F209">
        <v>22.0243663750332</v>
      </c>
      <c r="G209">
        <v>0</v>
      </c>
      <c r="H209">
        <v>0</v>
      </c>
      <c r="I209" s="72">
        <f t="shared" si="6"/>
        <v>116.4454389836003</v>
      </c>
    </row>
    <row r="210" spans="1:9" x14ac:dyDescent="0.3">
      <c r="A210">
        <v>2031</v>
      </c>
      <c r="B210">
        <v>11</v>
      </c>
      <c r="C210">
        <v>30</v>
      </c>
      <c r="D210">
        <v>2031.915</v>
      </c>
      <c r="E210">
        <v>94.635951111966193</v>
      </c>
      <c r="F210">
        <v>22.040198749048098</v>
      </c>
      <c r="G210">
        <v>0</v>
      </c>
      <c r="H210">
        <v>0</v>
      </c>
      <c r="I210" s="72">
        <f t="shared" si="6"/>
        <v>116.6761498610143</v>
      </c>
    </row>
    <row r="211" spans="1:9" x14ac:dyDescent="0.3">
      <c r="A211">
        <v>2031</v>
      </c>
      <c r="B211">
        <v>12</v>
      </c>
      <c r="C211">
        <v>31</v>
      </c>
      <c r="D211">
        <v>2032</v>
      </c>
      <c r="E211">
        <v>94.857077041997897</v>
      </c>
      <c r="F211">
        <v>22.0498601419789</v>
      </c>
      <c r="G211">
        <v>0</v>
      </c>
      <c r="H211">
        <v>0</v>
      </c>
      <c r="I211" s="72">
        <f t="shared" si="6"/>
        <v>116.90693718397679</v>
      </c>
    </row>
    <row r="212" spans="1:9" x14ac:dyDescent="0.3">
      <c r="A212">
        <v>2032</v>
      </c>
      <c r="B212">
        <v>1</v>
      </c>
      <c r="C212">
        <v>31</v>
      </c>
      <c r="D212">
        <v>2032.085</v>
      </c>
      <c r="E212">
        <v>95.077277918811205</v>
      </c>
      <c r="F212">
        <v>22.059310502619901</v>
      </c>
      <c r="G212">
        <v>0</v>
      </c>
      <c r="H212">
        <v>0</v>
      </c>
      <c r="I212" s="72">
        <f t="shared" si="6"/>
        <v>117.1365884214311</v>
      </c>
    </row>
    <row r="213" spans="1:9" x14ac:dyDescent="0.3">
      <c r="A213">
        <v>2032</v>
      </c>
      <c r="B213">
        <v>2</v>
      </c>
      <c r="C213">
        <v>29</v>
      </c>
      <c r="D213">
        <v>2032.164</v>
      </c>
      <c r="E213">
        <v>95.282439407355994</v>
      </c>
      <c r="F213">
        <v>22.069755316095598</v>
      </c>
      <c r="G213">
        <v>0</v>
      </c>
      <c r="H213">
        <v>0</v>
      </c>
      <c r="I213" s="72">
        <f t="shared" si="6"/>
        <v>117.35219472345159</v>
      </c>
    </row>
    <row r="214" spans="1:9" x14ac:dyDescent="0.3">
      <c r="A214">
        <v>2032</v>
      </c>
      <c r="B214">
        <v>3</v>
      </c>
      <c r="C214">
        <v>31</v>
      </c>
      <c r="D214">
        <v>2032.249</v>
      </c>
      <c r="E214">
        <v>95.500864509019905</v>
      </c>
      <c r="F214">
        <v>22.087765086003401</v>
      </c>
      <c r="G214">
        <v>0</v>
      </c>
      <c r="H214">
        <v>0</v>
      </c>
      <c r="I214" s="72">
        <f t="shared" si="6"/>
        <v>117.58862959502331</v>
      </c>
    </row>
    <row r="215" spans="1:9" x14ac:dyDescent="0.3">
      <c r="A215">
        <v>2032</v>
      </c>
      <c r="B215">
        <v>4</v>
      </c>
      <c r="C215">
        <v>30</v>
      </c>
      <c r="D215">
        <v>2032.3309999999999</v>
      </c>
      <c r="E215">
        <v>95.711258696161593</v>
      </c>
      <c r="F215">
        <v>22.118007432289701</v>
      </c>
      <c r="G215">
        <v>0</v>
      </c>
      <c r="H215">
        <v>0</v>
      </c>
      <c r="I215" s="72">
        <f t="shared" si="6"/>
        <v>117.82926612845129</v>
      </c>
    </row>
    <row r="216" spans="1:9" x14ac:dyDescent="0.3">
      <c r="A216">
        <v>2032</v>
      </c>
      <c r="B216">
        <v>5</v>
      </c>
      <c r="C216">
        <v>31</v>
      </c>
      <c r="D216">
        <v>2032.415</v>
      </c>
      <c r="E216">
        <v>95.927771906962803</v>
      </c>
      <c r="F216">
        <v>22.156406437447899</v>
      </c>
      <c r="G216">
        <v>0</v>
      </c>
      <c r="H216">
        <v>0</v>
      </c>
      <c r="I216" s="72">
        <f t="shared" si="6"/>
        <v>118.0841783444107</v>
      </c>
    </row>
    <row r="217" spans="1:9" x14ac:dyDescent="0.3">
      <c r="A217">
        <v>2032</v>
      </c>
      <c r="B217">
        <v>6</v>
      </c>
      <c r="C217">
        <v>30</v>
      </c>
      <c r="D217">
        <v>2032.4970000000001</v>
      </c>
      <c r="E217">
        <v>96.1364443437392</v>
      </c>
      <c r="F217">
        <v>22.241818549799401</v>
      </c>
      <c r="G217">
        <v>0</v>
      </c>
      <c r="H217">
        <v>0</v>
      </c>
      <c r="I217" s="106">
        <f t="shared" si="6"/>
        <v>118.3782628935386</v>
      </c>
    </row>
    <row r="218" spans="1:9" x14ac:dyDescent="0.3">
      <c r="A218">
        <v>2032</v>
      </c>
      <c r="B218">
        <v>7</v>
      </c>
      <c r="C218">
        <v>31</v>
      </c>
      <c r="D218">
        <v>2032.5820000000001</v>
      </c>
      <c r="E218">
        <v>96.351192387101904</v>
      </c>
      <c r="F218">
        <v>22.355025605424601</v>
      </c>
      <c r="G218">
        <v>0</v>
      </c>
      <c r="H218">
        <v>0</v>
      </c>
      <c r="I218" s="72">
        <f t="shared" si="6"/>
        <v>118.7062179925265</v>
      </c>
    </row>
    <row r="219" spans="1:9" x14ac:dyDescent="0.3">
      <c r="A219">
        <v>2032</v>
      </c>
      <c r="B219">
        <v>8</v>
      </c>
      <c r="C219">
        <v>31</v>
      </c>
      <c r="D219">
        <v>2032.6669999999999</v>
      </c>
      <c r="E219">
        <v>96.565050796658596</v>
      </c>
      <c r="F219">
        <v>22.5084466896067</v>
      </c>
      <c r="G219">
        <v>0</v>
      </c>
      <c r="H219">
        <v>0</v>
      </c>
      <c r="I219" s="72">
        <f t="shared" si="6"/>
        <v>119.0734974862653</v>
      </c>
    </row>
    <row r="220" spans="1:9" x14ac:dyDescent="0.3">
      <c r="A220">
        <v>2032</v>
      </c>
      <c r="B220">
        <v>9</v>
      </c>
      <c r="C220">
        <v>30</v>
      </c>
      <c r="D220">
        <v>2032.749</v>
      </c>
      <c r="E220">
        <v>96.771168170545906</v>
      </c>
      <c r="F220">
        <v>22.631270641390401</v>
      </c>
      <c r="G220">
        <v>0</v>
      </c>
      <c r="H220">
        <v>0</v>
      </c>
      <c r="I220" s="72">
        <f t="shared" si="6"/>
        <v>119.40243881193631</v>
      </c>
    </row>
    <row r="221" spans="1:9" x14ac:dyDescent="0.3">
      <c r="A221">
        <v>2032</v>
      </c>
      <c r="B221">
        <v>10</v>
      </c>
      <c r="C221">
        <v>31</v>
      </c>
      <c r="D221">
        <v>2032.8330000000001</v>
      </c>
      <c r="E221">
        <v>96.983290467094804</v>
      </c>
      <c r="F221">
        <v>22.6588872501429</v>
      </c>
      <c r="G221">
        <v>0</v>
      </c>
      <c r="H221">
        <v>0</v>
      </c>
      <c r="I221" s="72">
        <f t="shared" si="6"/>
        <v>119.6421777172377</v>
      </c>
    </row>
    <row r="222" spans="1:9" x14ac:dyDescent="0.3">
      <c r="A222">
        <v>2032</v>
      </c>
      <c r="B222">
        <v>11</v>
      </c>
      <c r="C222">
        <v>30</v>
      </c>
      <c r="D222">
        <v>2032.915</v>
      </c>
      <c r="E222">
        <v>97.187736944824806</v>
      </c>
      <c r="F222">
        <v>22.6694572753985</v>
      </c>
      <c r="G222">
        <v>0</v>
      </c>
      <c r="H222">
        <v>0</v>
      </c>
      <c r="I222" s="72">
        <f t="shared" si="6"/>
        <v>119.85719422022331</v>
      </c>
    </row>
    <row r="223" spans="1:9" x14ac:dyDescent="0.3">
      <c r="A223">
        <v>2032</v>
      </c>
      <c r="B223">
        <v>12</v>
      </c>
      <c r="C223">
        <v>31</v>
      </c>
      <c r="D223">
        <v>2033</v>
      </c>
      <c r="E223">
        <v>97.398142113141404</v>
      </c>
      <c r="F223">
        <v>22.673834553104399</v>
      </c>
      <c r="G223">
        <v>0</v>
      </c>
      <c r="H223">
        <v>0</v>
      </c>
      <c r="I223" s="72">
        <f t="shared" si="6"/>
        <v>120.0719766662458</v>
      </c>
    </row>
    <row r="224" spans="1:9" x14ac:dyDescent="0.3">
      <c r="A224">
        <v>2033</v>
      </c>
      <c r="B224">
        <v>1</v>
      </c>
      <c r="C224">
        <v>31</v>
      </c>
      <c r="D224">
        <v>2033.085</v>
      </c>
      <c r="E224">
        <v>97.607681847019705</v>
      </c>
      <c r="F224">
        <v>22.678117696461101</v>
      </c>
      <c r="G224">
        <v>0</v>
      </c>
      <c r="H224">
        <v>0</v>
      </c>
      <c r="I224" s="72">
        <f t="shared" si="6"/>
        <v>120.28579954348081</v>
      </c>
    </row>
    <row r="225" spans="1:9" x14ac:dyDescent="0.3">
      <c r="A225">
        <v>2033</v>
      </c>
      <c r="B225">
        <v>2</v>
      </c>
      <c r="C225">
        <v>28</v>
      </c>
      <c r="D225">
        <v>2033.162</v>
      </c>
      <c r="E225">
        <v>97.796203690012504</v>
      </c>
      <c r="F225">
        <v>22.683624004358499</v>
      </c>
      <c r="G225">
        <v>0</v>
      </c>
      <c r="H225">
        <v>0</v>
      </c>
      <c r="I225" s="72">
        <f t="shared" si="6"/>
        <v>120.47982769437101</v>
      </c>
    </row>
    <row r="226" spans="1:9" x14ac:dyDescent="0.3">
      <c r="A226">
        <v>2033</v>
      </c>
      <c r="B226">
        <v>3</v>
      </c>
      <c r="C226">
        <v>31</v>
      </c>
      <c r="D226">
        <v>2033.2470000000001</v>
      </c>
      <c r="E226">
        <v>98.004109590543806</v>
      </c>
      <c r="F226">
        <v>22.696741979329399</v>
      </c>
      <c r="G226">
        <v>0</v>
      </c>
      <c r="H226">
        <v>0</v>
      </c>
      <c r="I226" s="72">
        <f t="shared" si="6"/>
        <v>120.70085156987321</v>
      </c>
    </row>
    <row r="227" spans="1:9" x14ac:dyDescent="0.3">
      <c r="A227">
        <v>2033</v>
      </c>
      <c r="B227">
        <v>4</v>
      </c>
      <c r="C227">
        <v>30</v>
      </c>
      <c r="D227">
        <v>2033.329</v>
      </c>
      <c r="E227">
        <v>98.204397403091406</v>
      </c>
      <c r="F227">
        <v>22.722613624847899</v>
      </c>
      <c r="G227">
        <v>0</v>
      </c>
      <c r="H227">
        <v>0</v>
      </c>
      <c r="I227" s="72">
        <f t="shared" si="6"/>
        <v>120.9270110279393</v>
      </c>
    </row>
    <row r="228" spans="1:9" x14ac:dyDescent="0.3">
      <c r="A228">
        <v>2033</v>
      </c>
      <c r="B228">
        <v>5</v>
      </c>
      <c r="C228">
        <v>31</v>
      </c>
      <c r="D228">
        <v>2033.414</v>
      </c>
      <c r="E228">
        <v>98.410521244304803</v>
      </c>
      <c r="F228">
        <v>22.756685021253698</v>
      </c>
      <c r="G228">
        <v>0</v>
      </c>
      <c r="H228">
        <v>0</v>
      </c>
      <c r="I228" s="72">
        <f t="shared" si="6"/>
        <v>121.16720626555851</v>
      </c>
    </row>
    <row r="229" spans="1:9" x14ac:dyDescent="0.3">
      <c r="A229">
        <v>2033</v>
      </c>
      <c r="B229">
        <v>6</v>
      </c>
      <c r="C229">
        <v>30</v>
      </c>
      <c r="D229">
        <v>2033.4960000000001</v>
      </c>
      <c r="E229">
        <v>98.609194385525299</v>
      </c>
      <c r="F229">
        <v>22.839073021543498</v>
      </c>
      <c r="G229">
        <v>0</v>
      </c>
      <c r="H229">
        <v>0</v>
      </c>
      <c r="I229" s="106">
        <f t="shared" si="6"/>
        <v>121.4482674070688</v>
      </c>
    </row>
    <row r="230" spans="1:9" x14ac:dyDescent="0.3">
      <c r="A230">
        <v>2033</v>
      </c>
      <c r="B230">
        <v>7</v>
      </c>
      <c r="C230">
        <v>31</v>
      </c>
      <c r="D230">
        <v>2033.5809999999999</v>
      </c>
      <c r="E230">
        <v>98.813666253067098</v>
      </c>
      <c r="F230">
        <v>22.949733969444502</v>
      </c>
      <c r="G230">
        <v>0</v>
      </c>
      <c r="H230">
        <v>0</v>
      </c>
      <c r="I230" s="72">
        <f t="shared" si="6"/>
        <v>121.76340022251159</v>
      </c>
    </row>
    <row r="231" spans="1:9" x14ac:dyDescent="0.3">
      <c r="A231">
        <v>2033</v>
      </c>
      <c r="B231">
        <v>8</v>
      </c>
      <c r="C231">
        <v>31</v>
      </c>
      <c r="D231">
        <v>2033.6659999999999</v>
      </c>
      <c r="E231">
        <v>99.017305502395999</v>
      </c>
      <c r="F231">
        <v>23.101582474574201</v>
      </c>
      <c r="G231">
        <v>0</v>
      </c>
      <c r="H231">
        <v>0</v>
      </c>
      <c r="I231" s="72">
        <f t="shared" si="6"/>
        <v>122.1188879769702</v>
      </c>
    </row>
    <row r="232" spans="1:9" x14ac:dyDescent="0.3">
      <c r="A232">
        <v>2033</v>
      </c>
      <c r="B232">
        <v>9</v>
      </c>
      <c r="C232">
        <v>30</v>
      </c>
      <c r="D232">
        <v>2033.748</v>
      </c>
      <c r="E232">
        <v>99.213587330972402</v>
      </c>
      <c r="F232">
        <v>23.2224130947764</v>
      </c>
      <c r="G232">
        <v>0</v>
      </c>
      <c r="H232">
        <v>0</v>
      </c>
      <c r="I232" s="72">
        <f t="shared" si="6"/>
        <v>122.4360004257488</v>
      </c>
    </row>
    <row r="233" spans="1:9" x14ac:dyDescent="0.3">
      <c r="A233">
        <v>2033</v>
      </c>
      <c r="B233">
        <v>10</v>
      </c>
      <c r="C233">
        <v>31</v>
      </c>
      <c r="D233">
        <v>2033.8330000000001</v>
      </c>
      <c r="E233">
        <v>99.415601662590106</v>
      </c>
      <c r="F233">
        <v>23.245761039546501</v>
      </c>
      <c r="G233">
        <v>0</v>
      </c>
      <c r="H233">
        <v>0</v>
      </c>
      <c r="I233" s="72">
        <f t="shared" si="6"/>
        <v>122.66136270213661</v>
      </c>
    </row>
    <row r="234" spans="1:9" x14ac:dyDescent="0.3">
      <c r="A234">
        <v>2033</v>
      </c>
      <c r="B234">
        <v>11</v>
      </c>
      <c r="C234">
        <v>30</v>
      </c>
      <c r="D234">
        <v>2033.915</v>
      </c>
      <c r="E234">
        <v>99.610319566244002</v>
      </c>
      <c r="F234">
        <v>23.251893445818599</v>
      </c>
      <c r="G234">
        <v>0</v>
      </c>
      <c r="H234">
        <v>0</v>
      </c>
      <c r="I234" s="72">
        <f t="shared" si="6"/>
        <v>122.8622130120626</v>
      </c>
    </row>
    <row r="235" spans="1:9" x14ac:dyDescent="0.3">
      <c r="A235">
        <v>2033</v>
      </c>
      <c r="B235">
        <v>12</v>
      </c>
      <c r="C235">
        <v>31</v>
      </c>
      <c r="D235">
        <v>2034</v>
      </c>
      <c r="E235">
        <v>99.810726650424698</v>
      </c>
      <c r="F235">
        <v>23.251594049103598</v>
      </c>
      <c r="G235">
        <v>0</v>
      </c>
      <c r="H235">
        <v>0</v>
      </c>
      <c r="I235" s="72">
        <f t="shared" si="6"/>
        <v>123.0623206995283</v>
      </c>
    </row>
    <row r="236" spans="1:9" x14ac:dyDescent="0.3">
      <c r="A236">
        <v>2034</v>
      </c>
      <c r="B236">
        <v>1</v>
      </c>
      <c r="C236">
        <v>31</v>
      </c>
      <c r="D236">
        <v>2034.085</v>
      </c>
      <c r="E236">
        <v>100.010323640341</v>
      </c>
      <c r="F236">
        <v>23.251252204941601</v>
      </c>
      <c r="G236">
        <v>0</v>
      </c>
      <c r="H236">
        <v>0</v>
      </c>
      <c r="I236" s="72">
        <f t="shared" si="6"/>
        <v>123.26157584528261</v>
      </c>
    </row>
    <row r="237" spans="1:9" x14ac:dyDescent="0.3">
      <c r="A237">
        <v>2034</v>
      </c>
      <c r="B237">
        <v>2</v>
      </c>
      <c r="C237">
        <v>28</v>
      </c>
      <c r="D237">
        <v>2034.162</v>
      </c>
      <c r="E237">
        <v>100.189912227005</v>
      </c>
      <c r="F237">
        <v>23.2526599499569</v>
      </c>
      <c r="G237">
        <v>0</v>
      </c>
      <c r="H237">
        <v>0</v>
      </c>
      <c r="I237" s="72">
        <f t="shared" si="6"/>
        <v>123.4425721769619</v>
      </c>
    </row>
    <row r="238" spans="1:9" x14ac:dyDescent="0.3">
      <c r="A238">
        <v>2034</v>
      </c>
      <c r="B238">
        <v>3</v>
      </c>
      <c r="C238">
        <v>31</v>
      </c>
      <c r="D238">
        <v>2034.2470000000001</v>
      </c>
      <c r="E238">
        <v>100.387979781361</v>
      </c>
      <c r="F238">
        <v>23.261432706171401</v>
      </c>
      <c r="G238">
        <v>0</v>
      </c>
      <c r="H238">
        <v>0</v>
      </c>
      <c r="I238" s="72">
        <f t="shared" si="6"/>
        <v>123.6494124875324</v>
      </c>
    </row>
    <row r="239" spans="1:9" x14ac:dyDescent="0.3">
      <c r="A239">
        <v>2034</v>
      </c>
      <c r="B239">
        <v>4</v>
      </c>
      <c r="C239">
        <v>30</v>
      </c>
      <c r="D239">
        <v>2034.329</v>
      </c>
      <c r="E239">
        <v>100.57881014338599</v>
      </c>
      <c r="F239">
        <v>23.283429063241002</v>
      </c>
      <c r="G239">
        <v>0</v>
      </c>
      <c r="H239">
        <v>0</v>
      </c>
      <c r="I239" s="72">
        <f t="shared" si="6"/>
        <v>123.862239206627</v>
      </c>
    </row>
    <row r="240" spans="1:9" x14ac:dyDescent="0.3">
      <c r="A240">
        <v>2034</v>
      </c>
      <c r="B240">
        <v>5</v>
      </c>
      <c r="C240">
        <v>31</v>
      </c>
      <c r="D240">
        <v>2034.414</v>
      </c>
      <c r="E240">
        <v>100.77521526804399</v>
      </c>
      <c r="F240">
        <v>23.3136652226057</v>
      </c>
      <c r="G240">
        <v>0</v>
      </c>
      <c r="H240">
        <v>0</v>
      </c>
      <c r="I240" s="72">
        <f t="shared" si="6"/>
        <v>124.0888804906497</v>
      </c>
    </row>
    <row r="241" spans="1:9" x14ac:dyDescent="0.3">
      <c r="A241">
        <v>2034</v>
      </c>
      <c r="B241">
        <v>6</v>
      </c>
      <c r="C241">
        <v>30</v>
      </c>
      <c r="D241">
        <v>2034.4960000000001</v>
      </c>
      <c r="E241">
        <v>100.964534290763</v>
      </c>
      <c r="F241">
        <v>23.393411321493399</v>
      </c>
      <c r="G241">
        <v>0</v>
      </c>
      <c r="H241">
        <v>0</v>
      </c>
      <c r="I241" s="106">
        <f t="shared" si="6"/>
        <v>124.3579456122564</v>
      </c>
    </row>
    <row r="242" spans="1:9" x14ac:dyDescent="0.3">
      <c r="A242">
        <v>2034</v>
      </c>
      <c r="B242">
        <v>7</v>
      </c>
      <c r="C242">
        <v>31</v>
      </c>
      <c r="D242">
        <v>2034.5809999999999</v>
      </c>
      <c r="E242">
        <v>101.15939270952001</v>
      </c>
      <c r="F242">
        <v>23.501872454031499</v>
      </c>
      <c r="G242">
        <v>0</v>
      </c>
      <c r="H242">
        <v>0</v>
      </c>
      <c r="I242" s="72">
        <f t="shared" si="6"/>
        <v>124.6612651635515</v>
      </c>
    </row>
    <row r="243" spans="1:9" x14ac:dyDescent="0.3">
      <c r="A243">
        <v>2034</v>
      </c>
      <c r="B243">
        <v>8</v>
      </c>
      <c r="C243">
        <v>31</v>
      </c>
      <c r="D243">
        <v>2034.6659999999999</v>
      </c>
      <c r="E243">
        <v>101.353471519614</v>
      </c>
      <c r="F243">
        <v>23.652416301076599</v>
      </c>
      <c r="G243">
        <v>0</v>
      </c>
      <c r="H243">
        <v>0</v>
      </c>
      <c r="I243" s="72">
        <f t="shared" si="6"/>
        <v>125.0058878206906</v>
      </c>
    </row>
    <row r="244" spans="1:9" x14ac:dyDescent="0.3">
      <c r="A244">
        <v>2034</v>
      </c>
      <c r="B244">
        <v>9</v>
      </c>
      <c r="C244">
        <v>30</v>
      </c>
      <c r="D244">
        <v>2034.748</v>
      </c>
      <c r="E244">
        <v>101.54055147485801</v>
      </c>
      <c r="F244">
        <v>23.771544686158499</v>
      </c>
      <c r="G244">
        <v>0</v>
      </c>
      <c r="H244">
        <v>0</v>
      </c>
      <c r="I244" s="72">
        <f t="shared" si="6"/>
        <v>125.31209616101651</v>
      </c>
    </row>
    <row r="245" spans="1:9" x14ac:dyDescent="0.3">
      <c r="A245">
        <v>2034</v>
      </c>
      <c r="B245">
        <v>10</v>
      </c>
      <c r="C245">
        <v>31</v>
      </c>
      <c r="D245">
        <v>2034.8330000000001</v>
      </c>
      <c r="E245">
        <v>101.733108724426</v>
      </c>
      <c r="F245">
        <v>23.791087317220999</v>
      </c>
      <c r="G245">
        <v>0</v>
      </c>
      <c r="H245">
        <v>0</v>
      </c>
      <c r="I245" s="72">
        <f t="shared" si="6"/>
        <v>125.524196041647</v>
      </c>
    </row>
    <row r="246" spans="1:9" x14ac:dyDescent="0.3">
      <c r="A246">
        <v>2034</v>
      </c>
      <c r="B246">
        <v>11</v>
      </c>
      <c r="C246">
        <v>30</v>
      </c>
      <c r="D246">
        <v>2034.915</v>
      </c>
      <c r="E246">
        <v>101.918724170099</v>
      </c>
      <c r="F246">
        <v>23.793249414318499</v>
      </c>
      <c r="G246">
        <v>0</v>
      </c>
      <c r="H246">
        <v>0</v>
      </c>
      <c r="I246" s="72">
        <f t="shared" si="6"/>
        <v>125.71197358441749</v>
      </c>
    </row>
    <row r="247" spans="1:9" x14ac:dyDescent="0.3">
      <c r="A247">
        <v>2034</v>
      </c>
      <c r="B247">
        <v>12</v>
      </c>
      <c r="C247">
        <v>31</v>
      </c>
      <c r="D247">
        <v>2035</v>
      </c>
      <c r="E247">
        <v>102.10977627621099</v>
      </c>
      <c r="F247">
        <v>23.788758844112301</v>
      </c>
      <c r="G247">
        <v>0</v>
      </c>
      <c r="H247">
        <v>0</v>
      </c>
      <c r="I247" s="72">
        <f t="shared" si="6"/>
        <v>125.89853512032329</v>
      </c>
    </row>
    <row r="248" spans="1:9" x14ac:dyDescent="0.3">
      <c r="A248">
        <v>2035</v>
      </c>
      <c r="B248">
        <v>1</v>
      </c>
      <c r="C248">
        <v>31</v>
      </c>
      <c r="D248">
        <v>2035.085</v>
      </c>
      <c r="E248">
        <v>102.300069700267</v>
      </c>
      <c r="F248">
        <v>23.784269483959001</v>
      </c>
      <c r="G248">
        <v>0</v>
      </c>
      <c r="H248">
        <v>0</v>
      </c>
      <c r="I248" s="72">
        <f t="shared" si="6"/>
        <v>126.084339184226</v>
      </c>
    </row>
    <row r="249" spans="1:9" x14ac:dyDescent="0.3">
      <c r="A249">
        <v>2035</v>
      </c>
      <c r="B249">
        <v>2</v>
      </c>
      <c r="C249">
        <v>28</v>
      </c>
      <c r="D249">
        <v>2035.162</v>
      </c>
      <c r="E249">
        <v>102.47129899043399</v>
      </c>
      <c r="F249">
        <v>23.7820005754335</v>
      </c>
      <c r="G249">
        <v>0</v>
      </c>
      <c r="H249">
        <v>0</v>
      </c>
      <c r="I249" s="72">
        <f t="shared" si="6"/>
        <v>126.25329956586749</v>
      </c>
    </row>
    <row r="250" spans="1:9" x14ac:dyDescent="0.3">
      <c r="A250">
        <v>2035</v>
      </c>
      <c r="B250">
        <v>3</v>
      </c>
      <c r="C250">
        <v>31</v>
      </c>
      <c r="D250">
        <v>2035.2470000000001</v>
      </c>
      <c r="E250">
        <v>102.66015994711699</v>
      </c>
      <c r="F250">
        <v>23.786877259489799</v>
      </c>
      <c r="G250">
        <v>0</v>
      </c>
      <c r="H250">
        <v>0</v>
      </c>
      <c r="I250" s="72">
        <f t="shared" si="6"/>
        <v>126.44703720660679</v>
      </c>
    </row>
    <row r="251" spans="1:9" x14ac:dyDescent="0.3">
      <c r="A251">
        <v>2035</v>
      </c>
      <c r="B251">
        <v>4</v>
      </c>
      <c r="C251">
        <v>30</v>
      </c>
      <c r="D251">
        <v>2035.329</v>
      </c>
      <c r="E251">
        <v>102.842138874567</v>
      </c>
      <c r="F251">
        <v>23.805405090734698</v>
      </c>
      <c r="G251">
        <v>0</v>
      </c>
      <c r="H251">
        <v>0</v>
      </c>
      <c r="I251" s="72">
        <f t="shared" si="6"/>
        <v>126.64754396530169</v>
      </c>
    </row>
    <row r="252" spans="1:9" x14ac:dyDescent="0.3">
      <c r="A252">
        <v>2035</v>
      </c>
      <c r="B252">
        <v>5</v>
      </c>
      <c r="C252">
        <v>31</v>
      </c>
      <c r="D252">
        <v>2035.414</v>
      </c>
      <c r="E252">
        <v>103.029447585572</v>
      </c>
      <c r="F252">
        <v>23.8322103099934</v>
      </c>
      <c r="G252">
        <v>0</v>
      </c>
      <c r="H252">
        <v>0</v>
      </c>
      <c r="I252" s="72">
        <f t="shared" si="6"/>
        <v>126.8616578955654</v>
      </c>
    </row>
    <row r="253" spans="1:9" x14ac:dyDescent="0.3">
      <c r="A253">
        <v>2035</v>
      </c>
      <c r="B253">
        <v>6</v>
      </c>
      <c r="C253">
        <v>30</v>
      </c>
      <c r="D253">
        <v>2035.4960000000001</v>
      </c>
      <c r="E253">
        <v>103.210011066229</v>
      </c>
      <c r="F253">
        <v>23.9096246907637</v>
      </c>
      <c r="G253">
        <v>0</v>
      </c>
      <c r="H253">
        <v>0</v>
      </c>
      <c r="I253" s="106">
        <f t="shared" si="6"/>
        <v>127.11963575699269</v>
      </c>
    </row>
    <row r="254" spans="1:9" x14ac:dyDescent="0.3">
      <c r="A254">
        <v>2035</v>
      </c>
      <c r="B254">
        <v>7</v>
      </c>
      <c r="C254">
        <v>31</v>
      </c>
      <c r="D254">
        <v>2035.5809999999999</v>
      </c>
      <c r="E254">
        <v>103.395870808483</v>
      </c>
      <c r="F254">
        <v>24.0161650006219</v>
      </c>
      <c r="G254">
        <v>0</v>
      </c>
      <c r="H254">
        <v>0</v>
      </c>
      <c r="I254" s="72">
        <f t="shared" si="6"/>
        <v>127.41203580910489</v>
      </c>
    </row>
    <row r="255" spans="1:9" x14ac:dyDescent="0.3">
      <c r="A255">
        <v>2035</v>
      </c>
      <c r="B255">
        <v>8</v>
      </c>
      <c r="C255">
        <v>31</v>
      </c>
      <c r="D255">
        <v>2035.6659999999999</v>
      </c>
      <c r="E255">
        <v>103.581000151013</v>
      </c>
      <c r="F255">
        <v>24.165615708747399</v>
      </c>
      <c r="G255">
        <v>0</v>
      </c>
      <c r="H255">
        <v>0</v>
      </c>
      <c r="I255" s="72">
        <f t="shared" si="6"/>
        <v>127.7466158597604</v>
      </c>
    </row>
    <row r="256" spans="1:9" x14ac:dyDescent="0.3">
      <c r="A256">
        <v>2035</v>
      </c>
      <c r="B256">
        <v>9</v>
      </c>
      <c r="C256">
        <v>30</v>
      </c>
      <c r="D256">
        <v>2035.748</v>
      </c>
      <c r="E256">
        <v>103.759465894139</v>
      </c>
      <c r="F256">
        <v>24.283275030108101</v>
      </c>
      <c r="G256">
        <v>0</v>
      </c>
      <c r="H256">
        <v>0</v>
      </c>
      <c r="I256" s="72">
        <f t="shared" si="6"/>
        <v>128.04274092424708</v>
      </c>
    </row>
    <row r="257" spans="1:9" x14ac:dyDescent="0.3">
      <c r="A257">
        <v>2035</v>
      </c>
      <c r="B257">
        <v>10</v>
      </c>
      <c r="C257">
        <v>31</v>
      </c>
      <c r="D257">
        <v>2035.8330000000001</v>
      </c>
      <c r="E257">
        <v>103.94316960755501</v>
      </c>
      <c r="F257">
        <v>24.299395891298801</v>
      </c>
      <c r="G257">
        <v>0</v>
      </c>
      <c r="H257">
        <v>0</v>
      </c>
      <c r="I257" s="72">
        <f t="shared" si="6"/>
        <v>128.24256549885382</v>
      </c>
    </row>
    <row r="258" spans="1:9" x14ac:dyDescent="0.3">
      <c r="A258">
        <v>2035</v>
      </c>
      <c r="B258">
        <v>11</v>
      </c>
      <c r="C258">
        <v>30</v>
      </c>
      <c r="D258">
        <v>2035.915</v>
      </c>
      <c r="E258">
        <v>104.120263104489</v>
      </c>
      <c r="F258">
        <v>24.297976160503602</v>
      </c>
      <c r="G258">
        <v>0</v>
      </c>
      <c r="H258">
        <v>0</v>
      </c>
      <c r="I258" s="72">
        <f t="shared" si="6"/>
        <v>128.41823926499259</v>
      </c>
    </row>
    <row r="259" spans="1:9" x14ac:dyDescent="0.3">
      <c r="A259">
        <v>2035</v>
      </c>
      <c r="B259">
        <v>12</v>
      </c>
      <c r="C259">
        <v>31</v>
      </c>
      <c r="D259">
        <v>2036</v>
      </c>
      <c r="E259">
        <v>104.302556423751</v>
      </c>
      <c r="F259">
        <v>24.289698949658799</v>
      </c>
      <c r="G259">
        <v>0</v>
      </c>
      <c r="H259">
        <v>0</v>
      </c>
      <c r="I259" s="72">
        <f t="shared" si="6"/>
        <v>128.59225537340978</v>
      </c>
    </row>
    <row r="260" spans="1:9" x14ac:dyDescent="0.3">
      <c r="A260">
        <v>2036</v>
      </c>
      <c r="B260">
        <v>1</v>
      </c>
      <c r="C260">
        <v>31</v>
      </c>
      <c r="D260">
        <v>2036.085</v>
      </c>
      <c r="E260">
        <v>104.48413876314601</v>
      </c>
      <c r="F260">
        <v>24.2814603966834</v>
      </c>
      <c r="G260">
        <v>0</v>
      </c>
      <c r="H260">
        <v>0</v>
      </c>
      <c r="I260" s="72">
        <f t="shared" si="6"/>
        <v>128.76559915982941</v>
      </c>
    </row>
    <row r="261" spans="1:9" x14ac:dyDescent="0.3">
      <c r="A261">
        <v>2036</v>
      </c>
      <c r="B261">
        <v>2</v>
      </c>
      <c r="C261">
        <v>29</v>
      </c>
      <c r="D261">
        <v>2036.164</v>
      </c>
      <c r="E261">
        <v>104.65336587856901</v>
      </c>
      <c r="F261">
        <v>24.2758197720132</v>
      </c>
      <c r="G261">
        <v>0</v>
      </c>
      <c r="H261">
        <v>0</v>
      </c>
      <c r="I261" s="72">
        <f t="shared" si="6"/>
        <v>128.92918565058221</v>
      </c>
    </row>
    <row r="262" spans="1:9" x14ac:dyDescent="0.3">
      <c r="A262">
        <v>2036</v>
      </c>
      <c r="B262">
        <v>3</v>
      </c>
      <c r="C262">
        <v>31</v>
      </c>
      <c r="D262">
        <v>2036.249</v>
      </c>
      <c r="E262">
        <v>104.833583074912</v>
      </c>
      <c r="F262">
        <v>24.277737680334099</v>
      </c>
      <c r="G262">
        <v>0</v>
      </c>
      <c r="H262">
        <v>0</v>
      </c>
      <c r="I262" s="72">
        <f t="shared" si="6"/>
        <v>129.11132075524608</v>
      </c>
    </row>
    <row r="263" spans="1:9" x14ac:dyDescent="0.3">
      <c r="A263">
        <v>2036</v>
      </c>
      <c r="B263">
        <v>4</v>
      </c>
      <c r="C263">
        <v>30</v>
      </c>
      <c r="D263">
        <v>2036.3309999999999</v>
      </c>
      <c r="E263">
        <v>105.007248000101</v>
      </c>
      <c r="F263">
        <v>24.293083951768899</v>
      </c>
      <c r="G263">
        <v>0</v>
      </c>
      <c r="H263">
        <v>0</v>
      </c>
      <c r="I263" s="72">
        <f t="shared" si="6"/>
        <v>129.30033195186991</v>
      </c>
    </row>
    <row r="264" spans="1:9" x14ac:dyDescent="0.3">
      <c r="A264">
        <v>2036</v>
      </c>
      <c r="B264">
        <v>5</v>
      </c>
      <c r="C264">
        <v>31</v>
      </c>
      <c r="D264">
        <v>2036.415</v>
      </c>
      <c r="E264">
        <v>105.18601468135699</v>
      </c>
      <c r="F264">
        <v>24.318756768593101</v>
      </c>
      <c r="G264">
        <v>0</v>
      </c>
      <c r="H264">
        <v>0</v>
      </c>
      <c r="I264" s="72">
        <f t="shared" si="6"/>
        <v>129.50477144995008</v>
      </c>
    </row>
    <row r="265" spans="1:9" x14ac:dyDescent="0.3">
      <c r="A265">
        <v>2036</v>
      </c>
      <c r="B265">
        <v>6</v>
      </c>
      <c r="C265">
        <v>30</v>
      </c>
      <c r="D265">
        <v>2036.4970000000001</v>
      </c>
      <c r="E265">
        <v>105.358355798396</v>
      </c>
      <c r="F265">
        <v>24.3947797788089</v>
      </c>
      <c r="G265">
        <v>0</v>
      </c>
      <c r="H265">
        <v>0</v>
      </c>
      <c r="I265" s="106">
        <f t="shared" si="6"/>
        <v>129.75313557720492</v>
      </c>
    </row>
    <row r="266" spans="1:9" x14ac:dyDescent="0.3">
      <c r="A266">
        <v>2036</v>
      </c>
      <c r="B266">
        <v>7</v>
      </c>
      <c r="C266">
        <v>31</v>
      </c>
      <c r="D266">
        <v>2036.5820000000001</v>
      </c>
      <c r="E266">
        <v>105.53576440032499</v>
      </c>
      <c r="F266">
        <v>24.501384555869201</v>
      </c>
      <c r="G266">
        <v>0</v>
      </c>
      <c r="H266">
        <v>0</v>
      </c>
      <c r="I266" s="72">
        <f t="shared" si="6"/>
        <v>130.03714895619419</v>
      </c>
    </row>
    <row r="267" spans="1:9" x14ac:dyDescent="0.3">
      <c r="A267">
        <v>2036</v>
      </c>
      <c r="B267">
        <v>8</v>
      </c>
      <c r="C267">
        <v>31</v>
      </c>
      <c r="D267">
        <v>2036.6669999999999</v>
      </c>
      <c r="E267">
        <v>105.71248835895101</v>
      </c>
      <c r="F267">
        <v>24.649685711506802</v>
      </c>
      <c r="G267">
        <v>0</v>
      </c>
      <c r="H267">
        <v>0</v>
      </c>
      <c r="I267" s="72">
        <f t="shared" ref="I267:I311" si="7">E267+F267</f>
        <v>130.3621740704578</v>
      </c>
    </row>
    <row r="268" spans="1:9" x14ac:dyDescent="0.3">
      <c r="A268">
        <v>2036</v>
      </c>
      <c r="B268">
        <v>9</v>
      </c>
      <c r="C268">
        <v>30</v>
      </c>
      <c r="D268">
        <v>2036.749</v>
      </c>
      <c r="E268">
        <v>105.88286315281201</v>
      </c>
      <c r="F268">
        <v>24.7619588364743</v>
      </c>
      <c r="G268">
        <v>0</v>
      </c>
      <c r="H268">
        <v>0</v>
      </c>
      <c r="I268" s="72">
        <f t="shared" si="7"/>
        <v>130.6448219892863</v>
      </c>
    </row>
    <row r="269" spans="1:9" x14ac:dyDescent="0.3">
      <c r="A269">
        <v>2036</v>
      </c>
      <c r="B269">
        <v>10</v>
      </c>
      <c r="C269">
        <v>31</v>
      </c>
      <c r="D269">
        <v>2036.8330000000001</v>
      </c>
      <c r="E269">
        <v>106.058250674504</v>
      </c>
      <c r="F269">
        <v>24.774327423561001</v>
      </c>
      <c r="G269">
        <v>0</v>
      </c>
      <c r="H269">
        <v>0</v>
      </c>
      <c r="I269" s="72">
        <f t="shared" si="7"/>
        <v>130.832578098065</v>
      </c>
    </row>
    <row r="270" spans="1:9" x14ac:dyDescent="0.3">
      <c r="A270">
        <v>2036</v>
      </c>
      <c r="B270">
        <v>11</v>
      </c>
      <c r="C270">
        <v>30</v>
      </c>
      <c r="D270">
        <v>2036.915</v>
      </c>
      <c r="E270">
        <v>106.227338998786</v>
      </c>
      <c r="F270">
        <v>24.769381971580799</v>
      </c>
      <c r="G270">
        <v>0</v>
      </c>
      <c r="H270">
        <v>0</v>
      </c>
      <c r="I270" s="72">
        <f t="shared" si="7"/>
        <v>130.99672097036679</v>
      </c>
    </row>
    <row r="271" spans="1:9" x14ac:dyDescent="0.3">
      <c r="A271">
        <v>2036</v>
      </c>
      <c r="B271">
        <v>12</v>
      </c>
      <c r="C271">
        <v>31</v>
      </c>
      <c r="D271">
        <v>2037</v>
      </c>
      <c r="E271">
        <v>106.40140420899201</v>
      </c>
      <c r="F271">
        <v>24.7576513044209</v>
      </c>
      <c r="G271">
        <v>0</v>
      </c>
      <c r="H271">
        <v>0</v>
      </c>
      <c r="I271" s="72">
        <f t="shared" si="7"/>
        <v>131.15905551341291</v>
      </c>
    </row>
    <row r="272" spans="1:9" x14ac:dyDescent="0.3">
      <c r="A272">
        <v>2037</v>
      </c>
      <c r="B272">
        <v>1</v>
      </c>
      <c r="C272">
        <v>31</v>
      </c>
      <c r="D272">
        <v>2037.085</v>
      </c>
      <c r="E272">
        <v>106.574802781511</v>
      </c>
      <c r="F272">
        <v>24.746051879595498</v>
      </c>
      <c r="G272">
        <v>0</v>
      </c>
      <c r="H272">
        <v>0</v>
      </c>
      <c r="I272" s="72">
        <f t="shared" si="7"/>
        <v>131.32085466110649</v>
      </c>
    </row>
    <row r="273" spans="1:9" x14ac:dyDescent="0.3">
      <c r="A273">
        <v>2037</v>
      </c>
      <c r="B273">
        <v>2</v>
      </c>
      <c r="C273">
        <v>28</v>
      </c>
      <c r="D273">
        <v>2037.162</v>
      </c>
      <c r="E273">
        <v>106.730850835593</v>
      </c>
      <c r="F273">
        <v>24.737628186403001</v>
      </c>
      <c r="G273">
        <v>0</v>
      </c>
      <c r="H273">
        <v>0</v>
      </c>
      <c r="I273" s="72">
        <f t="shared" si="7"/>
        <v>131.46847902199602</v>
      </c>
    </row>
    <row r="274" spans="1:9" x14ac:dyDescent="0.3">
      <c r="A274">
        <v>2037</v>
      </c>
      <c r="B274">
        <v>3</v>
      </c>
      <c r="C274">
        <v>31</v>
      </c>
      <c r="D274">
        <v>2037.2470000000001</v>
      </c>
      <c r="E274">
        <v>106.902990516416</v>
      </c>
      <c r="F274">
        <v>24.736352478105498</v>
      </c>
      <c r="G274">
        <v>0</v>
      </c>
      <c r="H274">
        <v>0</v>
      </c>
      <c r="I274" s="72">
        <f t="shared" si="7"/>
        <v>131.63934299452148</v>
      </c>
    </row>
    <row r="275" spans="1:9" x14ac:dyDescent="0.3">
      <c r="A275">
        <v>2037</v>
      </c>
      <c r="B275">
        <v>4</v>
      </c>
      <c r="C275">
        <v>30</v>
      </c>
      <c r="D275">
        <v>2037.329</v>
      </c>
      <c r="E275">
        <v>107.068889873431</v>
      </c>
      <c r="F275">
        <v>24.748856341604199</v>
      </c>
      <c r="G275">
        <v>0</v>
      </c>
      <c r="H275">
        <v>0</v>
      </c>
      <c r="I275" s="72">
        <f t="shared" si="7"/>
        <v>131.81774621503521</v>
      </c>
    </row>
    <row r="276" spans="1:9" x14ac:dyDescent="0.3">
      <c r="A276">
        <v>2037</v>
      </c>
      <c r="B276">
        <v>5</v>
      </c>
      <c r="C276">
        <v>31</v>
      </c>
      <c r="D276">
        <v>2037.414</v>
      </c>
      <c r="E276">
        <v>107.23967250662901</v>
      </c>
      <c r="F276">
        <v>24.7717521172973</v>
      </c>
      <c r="G276">
        <v>0</v>
      </c>
      <c r="H276">
        <v>0</v>
      </c>
      <c r="I276" s="72">
        <f t="shared" si="7"/>
        <v>132.0114246239263</v>
      </c>
    </row>
    <row r="277" spans="1:9" x14ac:dyDescent="0.3">
      <c r="A277">
        <v>2037</v>
      </c>
      <c r="B277">
        <v>6</v>
      </c>
      <c r="C277">
        <v>30</v>
      </c>
      <c r="D277">
        <v>2037.4960000000001</v>
      </c>
      <c r="E277">
        <v>107.404327906302</v>
      </c>
      <c r="F277">
        <v>24.845924079696601</v>
      </c>
      <c r="G277">
        <v>0</v>
      </c>
      <c r="H277">
        <v>0</v>
      </c>
      <c r="I277" s="106">
        <f t="shared" si="7"/>
        <v>132.2502519859986</v>
      </c>
    </row>
    <row r="278" spans="1:9" x14ac:dyDescent="0.3">
      <c r="A278">
        <v>2037</v>
      </c>
      <c r="B278">
        <v>7</v>
      </c>
      <c r="C278">
        <v>31</v>
      </c>
      <c r="D278">
        <v>2037.5809999999999</v>
      </c>
      <c r="E278">
        <v>107.573836475128</v>
      </c>
      <c r="F278">
        <v>24.951053364673001</v>
      </c>
      <c r="G278">
        <v>0</v>
      </c>
      <c r="H278">
        <v>0</v>
      </c>
      <c r="I278" s="72">
        <f t="shared" si="7"/>
        <v>132.52488983980101</v>
      </c>
    </row>
    <row r="279" spans="1:9" x14ac:dyDescent="0.3">
      <c r="A279">
        <v>2037</v>
      </c>
      <c r="B279">
        <v>8</v>
      </c>
      <c r="C279">
        <v>31</v>
      </c>
      <c r="D279">
        <v>2037.6659999999999</v>
      </c>
      <c r="E279">
        <v>107.742702693965</v>
      </c>
      <c r="F279">
        <v>25.098565308879099</v>
      </c>
      <c r="G279">
        <v>0</v>
      </c>
      <c r="H279">
        <v>0</v>
      </c>
      <c r="I279" s="72">
        <f t="shared" si="7"/>
        <v>132.84126800284409</v>
      </c>
    </row>
    <row r="280" spans="1:9" x14ac:dyDescent="0.3">
      <c r="A280">
        <v>2037</v>
      </c>
      <c r="B280">
        <v>9</v>
      </c>
      <c r="C280">
        <v>30</v>
      </c>
      <c r="D280">
        <v>2037.748</v>
      </c>
      <c r="E280">
        <v>107.90551323874701</v>
      </c>
      <c r="F280">
        <v>25.209652903214401</v>
      </c>
      <c r="G280">
        <v>0</v>
      </c>
      <c r="H280">
        <v>0</v>
      </c>
      <c r="I280" s="72">
        <f t="shared" si="7"/>
        <v>133.1151661419614</v>
      </c>
    </row>
    <row r="281" spans="1:9" x14ac:dyDescent="0.3">
      <c r="A281">
        <v>2037</v>
      </c>
      <c r="B281">
        <v>10</v>
      </c>
      <c r="C281">
        <v>31</v>
      </c>
      <c r="D281">
        <v>2037.8330000000001</v>
      </c>
      <c r="E281">
        <v>108.073125458295</v>
      </c>
      <c r="F281">
        <v>25.219187293941399</v>
      </c>
      <c r="G281">
        <v>0</v>
      </c>
      <c r="H281">
        <v>0</v>
      </c>
      <c r="I281" s="72">
        <f t="shared" si="7"/>
        <v>133.2923127522364</v>
      </c>
    </row>
    <row r="282" spans="1:9" x14ac:dyDescent="0.3">
      <c r="A282">
        <v>2037</v>
      </c>
      <c r="B282">
        <v>11</v>
      </c>
      <c r="C282">
        <v>30</v>
      </c>
      <c r="D282">
        <v>2037.915</v>
      </c>
      <c r="E282">
        <v>108.234728811924</v>
      </c>
      <c r="F282">
        <v>25.211264642344901</v>
      </c>
      <c r="G282">
        <v>0</v>
      </c>
      <c r="H282">
        <v>0</v>
      </c>
      <c r="I282" s="72">
        <f t="shared" si="7"/>
        <v>133.44599345426889</v>
      </c>
    </row>
    <row r="283" spans="1:9" x14ac:dyDescent="0.3">
      <c r="A283">
        <v>2037</v>
      </c>
      <c r="B283">
        <v>12</v>
      </c>
      <c r="C283">
        <v>31</v>
      </c>
      <c r="D283">
        <v>2038</v>
      </c>
      <c r="E283">
        <v>108.401100127578</v>
      </c>
      <c r="F283">
        <v>25.1963830272576</v>
      </c>
      <c r="G283">
        <v>0</v>
      </c>
      <c r="H283">
        <v>0</v>
      </c>
      <c r="I283" s="72">
        <f t="shared" si="7"/>
        <v>133.5974831548356</v>
      </c>
    </row>
    <row r="284" spans="1:9" x14ac:dyDescent="0.3">
      <c r="A284">
        <v>2038</v>
      </c>
      <c r="B284">
        <v>1</v>
      </c>
      <c r="C284">
        <v>31</v>
      </c>
      <c r="D284">
        <v>2038.085</v>
      </c>
      <c r="E284">
        <v>108.566845785887</v>
      </c>
      <c r="F284">
        <v>25.181662208971801</v>
      </c>
      <c r="G284">
        <v>0</v>
      </c>
      <c r="H284">
        <v>0</v>
      </c>
      <c r="I284" s="72">
        <f t="shared" si="7"/>
        <v>133.74850799485881</v>
      </c>
    </row>
    <row r="285" spans="1:9" x14ac:dyDescent="0.3">
      <c r="A285">
        <v>2038</v>
      </c>
      <c r="B285">
        <v>2</v>
      </c>
      <c r="C285">
        <v>28</v>
      </c>
      <c r="D285">
        <v>2038.162</v>
      </c>
      <c r="E285">
        <v>108.716016536583</v>
      </c>
      <c r="F285">
        <v>25.170472144227102</v>
      </c>
      <c r="G285">
        <v>0</v>
      </c>
      <c r="H285">
        <v>0</v>
      </c>
      <c r="I285" s="72">
        <f t="shared" si="7"/>
        <v>133.88648868081009</v>
      </c>
    </row>
    <row r="286" spans="1:9" x14ac:dyDescent="0.3">
      <c r="A286">
        <v>2038</v>
      </c>
      <c r="B286">
        <v>3</v>
      </c>
      <c r="C286">
        <v>31</v>
      </c>
      <c r="D286">
        <v>2038.2470000000001</v>
      </c>
      <c r="E286">
        <v>108.88058057791601</v>
      </c>
      <c r="F286">
        <v>25.166274616530998</v>
      </c>
      <c r="G286">
        <v>0</v>
      </c>
      <c r="H286">
        <v>0</v>
      </c>
      <c r="I286" s="72">
        <f t="shared" si="7"/>
        <v>134.04685519444701</v>
      </c>
    </row>
    <row r="287" spans="1:9" x14ac:dyDescent="0.3">
      <c r="A287">
        <v>2038</v>
      </c>
      <c r="B287">
        <v>4</v>
      </c>
      <c r="C287">
        <v>30</v>
      </c>
      <c r="D287">
        <v>2038.329</v>
      </c>
      <c r="E287">
        <v>109.03919353492</v>
      </c>
      <c r="F287">
        <v>25.176181631506299</v>
      </c>
      <c r="G287">
        <v>0</v>
      </c>
      <c r="H287">
        <v>0</v>
      </c>
      <c r="I287" s="72">
        <f t="shared" si="7"/>
        <v>134.2153751664263</v>
      </c>
    </row>
    <row r="288" spans="1:9" x14ac:dyDescent="0.3">
      <c r="A288">
        <v>2038</v>
      </c>
      <c r="B288">
        <v>5</v>
      </c>
      <c r="C288">
        <v>31</v>
      </c>
      <c r="D288">
        <v>2038.414</v>
      </c>
      <c r="E288">
        <v>109.202486672951</v>
      </c>
      <c r="F288">
        <v>25.196542389042001</v>
      </c>
      <c r="G288">
        <v>0</v>
      </c>
      <c r="H288">
        <v>0</v>
      </c>
      <c r="I288" s="72">
        <f t="shared" si="7"/>
        <v>134.39902906199299</v>
      </c>
    </row>
    <row r="289" spans="1:10" x14ac:dyDescent="0.3">
      <c r="A289">
        <v>2038</v>
      </c>
      <c r="B289">
        <v>6</v>
      </c>
      <c r="C289">
        <v>30</v>
      </c>
      <c r="D289">
        <v>2038.4960000000001</v>
      </c>
      <c r="E289">
        <v>109.359931968708</v>
      </c>
      <c r="F289">
        <v>25.269043502864299</v>
      </c>
      <c r="G289">
        <v>0</v>
      </c>
      <c r="H289">
        <v>0</v>
      </c>
      <c r="I289" s="106">
        <f t="shared" si="7"/>
        <v>134.62897547157229</v>
      </c>
    </row>
    <row r="290" spans="1:10" x14ac:dyDescent="0.3">
      <c r="A290">
        <v>2038</v>
      </c>
      <c r="B290">
        <v>7</v>
      </c>
      <c r="C290">
        <v>31</v>
      </c>
      <c r="D290">
        <v>2038.5809999999999</v>
      </c>
      <c r="E290">
        <v>109.52202890498199</v>
      </c>
      <c r="F290">
        <v>25.372854698014699</v>
      </c>
      <c r="G290">
        <v>0</v>
      </c>
      <c r="H290">
        <v>0</v>
      </c>
      <c r="I290" s="72">
        <f t="shared" si="7"/>
        <v>134.89488360299669</v>
      </c>
    </row>
    <row r="291" spans="1:10" x14ac:dyDescent="0.3">
      <c r="A291">
        <v>2038</v>
      </c>
      <c r="B291">
        <v>8</v>
      </c>
      <c r="C291">
        <v>31</v>
      </c>
      <c r="D291">
        <v>2038.6659999999999</v>
      </c>
      <c r="E291">
        <v>109.683522686887</v>
      </c>
      <c r="F291">
        <v>25.519690657815801</v>
      </c>
      <c r="G291">
        <v>0</v>
      </c>
      <c r="H291">
        <v>0</v>
      </c>
      <c r="I291" s="72">
        <f t="shared" si="7"/>
        <v>135.20321334470282</v>
      </c>
    </row>
    <row r="292" spans="1:10" x14ac:dyDescent="0.3">
      <c r="A292">
        <v>2038</v>
      </c>
      <c r="B292">
        <v>9</v>
      </c>
      <c r="C292">
        <v>30</v>
      </c>
      <c r="D292">
        <v>2038.748</v>
      </c>
      <c r="E292">
        <v>109.839235699385</v>
      </c>
      <c r="F292">
        <v>25.629727099689699</v>
      </c>
      <c r="G292">
        <v>0</v>
      </c>
      <c r="H292">
        <v>0</v>
      </c>
      <c r="I292" s="72">
        <f t="shared" si="7"/>
        <v>135.46896279907469</v>
      </c>
    </row>
    <row r="293" spans="1:10" x14ac:dyDescent="0.3">
      <c r="A293">
        <v>2038</v>
      </c>
      <c r="B293">
        <v>10</v>
      </c>
      <c r="C293">
        <v>31</v>
      </c>
      <c r="D293">
        <v>2038.8330000000001</v>
      </c>
      <c r="E293">
        <v>109.999551880846</v>
      </c>
      <c r="F293">
        <v>25.6366642601511</v>
      </c>
      <c r="G293">
        <v>0</v>
      </c>
      <c r="H293">
        <v>0</v>
      </c>
      <c r="I293" s="72">
        <f t="shared" si="7"/>
        <v>135.63621614099711</v>
      </c>
    </row>
    <row r="294" spans="1:10" x14ac:dyDescent="0.3">
      <c r="A294">
        <v>2038</v>
      </c>
      <c r="B294">
        <v>11</v>
      </c>
      <c r="C294">
        <v>30</v>
      </c>
      <c r="D294">
        <v>2038.915</v>
      </c>
      <c r="E294">
        <v>110.154131172883</v>
      </c>
      <c r="F294">
        <v>25.626006814537401</v>
      </c>
      <c r="G294">
        <v>0</v>
      </c>
      <c r="H294">
        <v>0</v>
      </c>
      <c r="I294" s="72">
        <f t="shared" si="7"/>
        <v>135.7801379874204</v>
      </c>
    </row>
    <row r="295" spans="1:10" x14ac:dyDescent="0.3">
      <c r="A295">
        <v>2038</v>
      </c>
      <c r="B295">
        <v>12</v>
      </c>
      <c r="C295">
        <v>31</v>
      </c>
      <c r="D295">
        <v>2039</v>
      </c>
      <c r="E295">
        <v>110.313281894095</v>
      </c>
      <c r="F295">
        <v>25.6082279265494</v>
      </c>
      <c r="G295">
        <v>0</v>
      </c>
      <c r="H295">
        <v>0</v>
      </c>
      <c r="I295" s="72">
        <f t="shared" si="7"/>
        <v>135.92150982064439</v>
      </c>
    </row>
    <row r="296" spans="1:10" x14ac:dyDescent="0.3">
      <c r="A296">
        <v>2039</v>
      </c>
      <c r="B296">
        <v>1</v>
      </c>
      <c r="C296">
        <v>31</v>
      </c>
      <c r="D296">
        <v>2039.085</v>
      </c>
      <c r="E296">
        <v>110.471844936005</v>
      </c>
      <c r="F296">
        <v>25.590636189226899</v>
      </c>
      <c r="G296">
        <v>0</v>
      </c>
      <c r="H296">
        <v>0</v>
      </c>
      <c r="I296" s="72">
        <f t="shared" si="7"/>
        <v>136.0624811252319</v>
      </c>
    </row>
    <row r="297" spans="1:10" x14ac:dyDescent="0.3">
      <c r="A297">
        <v>2039</v>
      </c>
      <c r="B297">
        <v>2</v>
      </c>
      <c r="C297">
        <v>28</v>
      </c>
      <c r="D297">
        <v>2039.162</v>
      </c>
      <c r="E297">
        <v>110.61456060384999</v>
      </c>
      <c r="F297">
        <v>25.576901579454201</v>
      </c>
      <c r="G297">
        <v>0</v>
      </c>
      <c r="H297">
        <v>0</v>
      </c>
      <c r="I297" s="72">
        <f t="shared" si="7"/>
        <v>136.1914621833042</v>
      </c>
    </row>
    <row r="298" spans="1:10" x14ac:dyDescent="0.3">
      <c r="A298">
        <v>2039</v>
      </c>
      <c r="B298">
        <v>3</v>
      </c>
      <c r="C298">
        <v>31</v>
      </c>
      <c r="D298">
        <v>2039.2470000000001</v>
      </c>
      <c r="E298">
        <v>110.77201364238999</v>
      </c>
      <c r="F298">
        <v>25.570017971195401</v>
      </c>
      <c r="G298">
        <v>0</v>
      </c>
      <c r="H298">
        <v>0</v>
      </c>
      <c r="I298" s="72">
        <f t="shared" si="7"/>
        <v>136.34203161358539</v>
      </c>
    </row>
    <row r="299" spans="1:10" x14ac:dyDescent="0.3">
      <c r="A299">
        <v>2039</v>
      </c>
      <c r="B299">
        <v>4</v>
      </c>
      <c r="C299">
        <v>30</v>
      </c>
      <c r="D299">
        <v>2039.329</v>
      </c>
      <c r="E299">
        <v>110.923786207036</v>
      </c>
      <c r="F299">
        <v>25.577540998863299</v>
      </c>
      <c r="G299">
        <v>0</v>
      </c>
      <c r="H299">
        <v>0</v>
      </c>
      <c r="I299" s="72">
        <f t="shared" si="7"/>
        <v>136.50132720589932</v>
      </c>
    </row>
    <row r="300" spans="1:10" x14ac:dyDescent="0.3">
      <c r="A300">
        <v>2039</v>
      </c>
      <c r="B300">
        <v>5</v>
      </c>
      <c r="C300">
        <v>31</v>
      </c>
      <c r="D300">
        <v>2039.414</v>
      </c>
      <c r="E300">
        <v>111.080047786142</v>
      </c>
      <c r="F300">
        <v>25.5955764484575</v>
      </c>
      <c r="G300">
        <v>0</v>
      </c>
      <c r="H300">
        <v>0</v>
      </c>
      <c r="I300" s="72">
        <f t="shared" si="7"/>
        <v>136.6756242345995</v>
      </c>
    </row>
    <row r="301" spans="1:10" x14ac:dyDescent="0.3">
      <c r="A301">
        <v>2039</v>
      </c>
      <c r="B301">
        <v>6</v>
      </c>
      <c r="C301">
        <v>30</v>
      </c>
      <c r="D301">
        <v>2039.4960000000001</v>
      </c>
      <c r="E301">
        <v>111.230723375938</v>
      </c>
      <c r="F301">
        <v>25.6665612635835</v>
      </c>
      <c r="G301">
        <v>0</v>
      </c>
      <c r="H301">
        <v>0</v>
      </c>
      <c r="I301" s="106">
        <f t="shared" si="7"/>
        <v>136.8972846395215</v>
      </c>
      <c r="J301" s="11">
        <v>127.4954270993823</v>
      </c>
    </row>
    <row r="302" spans="1:10" x14ac:dyDescent="0.3">
      <c r="A302">
        <v>2039</v>
      </c>
      <c r="B302">
        <v>7</v>
      </c>
      <c r="C302">
        <v>31</v>
      </c>
      <c r="D302">
        <v>2039.5809999999999</v>
      </c>
      <c r="E302">
        <v>111.38586091753599</v>
      </c>
      <c r="F302">
        <v>25.7691883605779</v>
      </c>
      <c r="G302">
        <v>0</v>
      </c>
      <c r="H302">
        <v>0</v>
      </c>
      <c r="I302" s="72">
        <f t="shared" si="7"/>
        <v>137.15504927811389</v>
      </c>
    </row>
    <row r="303" spans="1:10" x14ac:dyDescent="0.3">
      <c r="A303">
        <v>2039</v>
      </c>
      <c r="B303">
        <v>8</v>
      </c>
      <c r="C303">
        <v>31</v>
      </c>
      <c r="D303">
        <v>2039.6659999999999</v>
      </c>
      <c r="E303">
        <v>111.540431632397</v>
      </c>
      <c r="F303">
        <v>25.9154427275415</v>
      </c>
      <c r="G303">
        <v>0</v>
      </c>
      <c r="H303">
        <v>0</v>
      </c>
      <c r="I303" s="72">
        <f t="shared" si="7"/>
        <v>137.45587435993849</v>
      </c>
    </row>
    <row r="304" spans="1:10" x14ac:dyDescent="0.3">
      <c r="A304">
        <v>2039</v>
      </c>
      <c r="B304">
        <v>9</v>
      </c>
      <c r="C304">
        <v>30</v>
      </c>
      <c r="D304">
        <v>2039.748</v>
      </c>
      <c r="E304">
        <v>111.68947927362299</v>
      </c>
      <c r="F304">
        <v>26.0245419923606</v>
      </c>
      <c r="G304">
        <v>0</v>
      </c>
      <c r="H304">
        <v>0</v>
      </c>
      <c r="I304" s="72">
        <f t="shared" si="7"/>
        <v>137.7140212659836</v>
      </c>
    </row>
    <row r="305" spans="1:9" x14ac:dyDescent="0.3">
      <c r="A305">
        <v>2039</v>
      </c>
      <c r="B305">
        <v>10</v>
      </c>
      <c r="C305">
        <v>31</v>
      </c>
      <c r="D305">
        <v>2039.8330000000001</v>
      </c>
      <c r="E305">
        <v>111.842943198009</v>
      </c>
      <c r="F305">
        <v>26.029088550401699</v>
      </c>
      <c r="G305">
        <v>0</v>
      </c>
      <c r="H305">
        <v>0</v>
      </c>
      <c r="I305" s="72">
        <f t="shared" si="7"/>
        <v>137.87203174841071</v>
      </c>
    </row>
    <row r="306" spans="1:9" x14ac:dyDescent="0.3">
      <c r="A306">
        <v>2039</v>
      </c>
      <c r="B306">
        <v>11</v>
      </c>
      <c r="C306">
        <v>30</v>
      </c>
      <c r="D306">
        <v>2039.915</v>
      </c>
      <c r="E306">
        <v>111.990925215742</v>
      </c>
      <c r="F306">
        <v>26.015908353521301</v>
      </c>
      <c r="G306">
        <v>0</v>
      </c>
      <c r="H306">
        <v>0</v>
      </c>
      <c r="I306" s="72">
        <f t="shared" si="7"/>
        <v>138.00683356926331</v>
      </c>
    </row>
    <row r="307" spans="1:9" x14ac:dyDescent="0.3">
      <c r="A307">
        <v>2039</v>
      </c>
      <c r="B307">
        <v>12</v>
      </c>
      <c r="C307">
        <v>31</v>
      </c>
      <c r="D307">
        <v>2040</v>
      </c>
      <c r="E307">
        <v>112.143293606565</v>
      </c>
      <c r="F307">
        <v>25.995454451563901</v>
      </c>
      <c r="G307">
        <v>0</v>
      </c>
      <c r="H307">
        <v>0</v>
      </c>
      <c r="I307" s="72">
        <f t="shared" si="7"/>
        <v>138.1387480581289</v>
      </c>
    </row>
    <row r="308" spans="1:9" x14ac:dyDescent="0.3">
      <c r="A308">
        <v>2040</v>
      </c>
      <c r="B308">
        <v>1</v>
      </c>
      <c r="C308">
        <v>31</v>
      </c>
      <c r="D308">
        <v>2040.085</v>
      </c>
      <c r="E308">
        <v>112.29510951981101</v>
      </c>
      <c r="F308">
        <v>25.9752114243589</v>
      </c>
      <c r="G308">
        <v>0</v>
      </c>
      <c r="H308">
        <v>0</v>
      </c>
      <c r="I308" s="72">
        <f t="shared" si="7"/>
        <v>138.2703209441699</v>
      </c>
    </row>
    <row r="309" spans="1:9" x14ac:dyDescent="0.3">
      <c r="A309">
        <v>2040</v>
      </c>
      <c r="B309">
        <v>2</v>
      </c>
      <c r="C309">
        <v>29</v>
      </c>
      <c r="D309">
        <v>2040.164</v>
      </c>
      <c r="E309">
        <v>112.43663322357401</v>
      </c>
      <c r="F309">
        <v>25.958709530105299</v>
      </c>
      <c r="G309">
        <v>0</v>
      </c>
      <c r="H309">
        <v>0</v>
      </c>
      <c r="I309" s="72">
        <f t="shared" si="7"/>
        <v>138.3953427536793</v>
      </c>
    </row>
    <row r="310" spans="1:9" x14ac:dyDescent="0.3">
      <c r="A310">
        <v>2040</v>
      </c>
      <c r="B310">
        <v>3</v>
      </c>
      <c r="C310">
        <v>31</v>
      </c>
      <c r="D310">
        <v>2040.249</v>
      </c>
      <c r="E310">
        <v>112.58738791352501</v>
      </c>
      <c r="F310">
        <v>25.949944153293899</v>
      </c>
      <c r="G310">
        <v>0</v>
      </c>
      <c r="H310">
        <v>0</v>
      </c>
      <c r="I310" s="72">
        <f t="shared" si="7"/>
        <v>138.53733206681892</v>
      </c>
    </row>
    <row r="311" spans="1:9" x14ac:dyDescent="0.3">
      <c r="I311" s="72">
        <f t="shared" si="7"/>
        <v>0</v>
      </c>
    </row>
    <row r="315" spans="1:9" x14ac:dyDescent="0.3">
      <c r="I315" s="72"/>
    </row>
  </sheetData>
  <pageMargins left="0.70866141732283472" right="0.70866141732283472" top="0.74803149606299213" bottom="0.74803149606299213" header="0.31496062992125984" footer="0.31496062992125984"/>
  <pageSetup paperSize="9" scale="87" fitToHeight="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R311"/>
  <sheetViews>
    <sheetView workbookViewId="0">
      <selection activeCell="K1" sqref="K1:K1048576"/>
    </sheetView>
  </sheetViews>
  <sheetFormatPr defaultColWidth="9" defaultRowHeight="16.5" x14ac:dyDescent="0.3"/>
  <cols>
    <col min="1" max="1" width="73.42578125" bestFit="1" customWidth="1"/>
    <col min="2" max="2" width="6.85546875" bestFit="1" customWidth="1"/>
    <col min="3" max="3" width="4.28515625" bestFit="1" customWidth="1"/>
    <col min="4" max="4" width="9.140625"/>
    <col min="5" max="5" width="14.42578125" bestFit="1" customWidth="1"/>
    <col min="6" max="6" width="21.42578125" bestFit="1" customWidth="1"/>
    <col min="7" max="7" width="22.140625" bestFit="1" customWidth="1"/>
    <col min="8" max="8" width="22.5703125" bestFit="1" customWidth="1"/>
    <col min="9" max="9" width="21.140625" style="11" bestFit="1" customWidth="1"/>
    <col min="10" max="10" width="9" style="11"/>
    <col min="11" max="11" width="5" style="2" bestFit="1" customWidth="1"/>
    <col min="12" max="12" width="6" style="2" bestFit="1" customWidth="1"/>
    <col min="13" max="13" width="11.85546875" style="2" bestFit="1" customWidth="1"/>
    <col min="14" max="14" width="5" style="2" bestFit="1" customWidth="1"/>
    <col min="15" max="15" width="13.28515625" style="2" bestFit="1" customWidth="1"/>
    <col min="16" max="16" width="15.28515625" style="2" bestFit="1" customWidth="1"/>
    <col min="17" max="17" width="19" style="2" bestFit="1" customWidth="1"/>
    <col min="18" max="18" width="19.5703125" style="2" bestFit="1" customWidth="1"/>
    <col min="19" max="16384" width="9" style="2"/>
  </cols>
  <sheetData>
    <row r="1" spans="1:10" x14ac:dyDescent="0.3">
      <c r="I1"/>
      <c r="J1"/>
    </row>
    <row r="2" spans="1:10" x14ac:dyDescent="0.3">
      <c r="I2"/>
      <c r="J2"/>
    </row>
    <row r="3" spans="1:10" x14ac:dyDescent="0.3">
      <c r="I3"/>
      <c r="J3"/>
    </row>
    <row r="4" spans="1:10" x14ac:dyDescent="0.3">
      <c r="I4"/>
      <c r="J4"/>
    </row>
    <row r="5" spans="1:10" x14ac:dyDescent="0.3">
      <c r="I5"/>
      <c r="J5"/>
    </row>
    <row r="6" spans="1:10" x14ac:dyDescent="0.3">
      <c r="I6"/>
      <c r="J6"/>
    </row>
    <row r="7" spans="1:10" x14ac:dyDescent="0.3">
      <c r="I7"/>
      <c r="J7"/>
    </row>
    <row r="8" spans="1:10" x14ac:dyDescent="0.3">
      <c r="A8" t="s">
        <v>260</v>
      </c>
      <c r="B8" t="s">
        <v>261</v>
      </c>
      <c r="C8" t="s">
        <v>262</v>
      </c>
      <c r="D8" t="s">
        <v>263</v>
      </c>
      <c r="E8" t="s">
        <v>264</v>
      </c>
      <c r="F8" t="s">
        <v>265</v>
      </c>
      <c r="G8" t="s">
        <v>266</v>
      </c>
      <c r="H8" t="s">
        <v>267</v>
      </c>
      <c r="I8" s="72" t="s">
        <v>268</v>
      </c>
      <c r="J8"/>
    </row>
    <row r="9" spans="1:10" x14ac:dyDescent="0.3">
      <c r="D9" t="s">
        <v>270</v>
      </c>
      <c r="E9" t="s">
        <v>269</v>
      </c>
      <c r="F9" t="s">
        <v>271</v>
      </c>
      <c r="G9" t="s">
        <v>269</v>
      </c>
      <c r="I9" s="72" t="s">
        <v>269</v>
      </c>
      <c r="J9"/>
    </row>
    <row r="10" spans="1:10" x14ac:dyDescent="0.3">
      <c r="A10">
        <v>2012</v>
      </c>
      <c r="B10">
        <v>1</v>
      </c>
      <c r="C10">
        <v>31</v>
      </c>
      <c r="D10">
        <v>2012.085</v>
      </c>
      <c r="E10">
        <v>0</v>
      </c>
      <c r="F10">
        <v>0</v>
      </c>
      <c r="I10" s="72">
        <f>E10+F10</f>
        <v>0</v>
      </c>
      <c r="J10"/>
    </row>
    <row r="11" spans="1:10" x14ac:dyDescent="0.3">
      <c r="A11">
        <v>2012</v>
      </c>
      <c r="B11">
        <v>2</v>
      </c>
      <c r="C11">
        <v>29</v>
      </c>
      <c r="D11">
        <v>2012.164</v>
      </c>
      <c r="E11">
        <v>0.29370000000000002</v>
      </c>
      <c r="F11">
        <v>3.6577299916190002E-3</v>
      </c>
      <c r="G11">
        <v>0</v>
      </c>
      <c r="H11">
        <v>0</v>
      </c>
      <c r="I11" s="72">
        <f t="shared" ref="I11:I74" si="0">E11+F11</f>
        <v>0.29735772999161902</v>
      </c>
      <c r="J11"/>
    </row>
    <row r="12" spans="1:10" x14ac:dyDescent="0.3">
      <c r="A12">
        <v>2012</v>
      </c>
      <c r="B12">
        <v>3</v>
      </c>
      <c r="C12">
        <v>31</v>
      </c>
      <c r="D12">
        <v>2012.249</v>
      </c>
      <c r="E12">
        <v>0.29370000000000002</v>
      </c>
      <c r="F12">
        <v>7.33511004072E-3</v>
      </c>
      <c r="G12">
        <v>0</v>
      </c>
      <c r="H12">
        <v>0</v>
      </c>
      <c r="I12" s="72">
        <f t="shared" si="0"/>
        <v>0.30103511004072003</v>
      </c>
      <c r="J12"/>
    </row>
    <row r="13" spans="1:10" x14ac:dyDescent="0.3">
      <c r="A13">
        <v>2012</v>
      </c>
      <c r="B13">
        <v>4</v>
      </c>
      <c r="C13">
        <v>30</v>
      </c>
      <c r="D13">
        <v>2012.3309999999999</v>
      </c>
      <c r="E13">
        <v>0.29370000000000002</v>
      </c>
      <c r="F13">
        <v>1.0796592864395001E-2</v>
      </c>
      <c r="G13">
        <v>0</v>
      </c>
      <c r="H13">
        <v>0</v>
      </c>
      <c r="I13" s="72">
        <f t="shared" si="0"/>
        <v>0.30449659286439501</v>
      </c>
      <c r="J13"/>
    </row>
    <row r="14" spans="1:10" x14ac:dyDescent="0.3">
      <c r="A14">
        <v>2012</v>
      </c>
      <c r="B14">
        <v>5</v>
      </c>
      <c r="C14">
        <v>31</v>
      </c>
      <c r="D14">
        <v>2012.415</v>
      </c>
      <c r="E14">
        <v>0.29370000000000002</v>
      </c>
      <c r="F14">
        <v>1.4855299616434E-2</v>
      </c>
      <c r="G14">
        <v>0</v>
      </c>
      <c r="H14">
        <v>0</v>
      </c>
      <c r="I14" s="72">
        <f t="shared" si="0"/>
        <v>0.30855529961643402</v>
      </c>
      <c r="J14"/>
    </row>
    <row r="15" spans="1:10" x14ac:dyDescent="0.3">
      <c r="A15">
        <v>2012</v>
      </c>
      <c r="B15">
        <v>6</v>
      </c>
      <c r="C15">
        <v>30</v>
      </c>
      <c r="D15">
        <v>2012.4970000000001</v>
      </c>
      <c r="E15">
        <v>0.29370000000000002</v>
      </c>
      <c r="F15">
        <v>1.7668920446411E-2</v>
      </c>
      <c r="G15">
        <v>0</v>
      </c>
      <c r="H15">
        <v>0</v>
      </c>
      <c r="I15" s="72">
        <f t="shared" si="0"/>
        <v>0.31136892044641101</v>
      </c>
      <c r="J15"/>
    </row>
    <row r="16" spans="1:10" x14ac:dyDescent="0.3">
      <c r="A16">
        <v>2012</v>
      </c>
      <c r="B16">
        <v>7</v>
      </c>
      <c r="C16">
        <v>31</v>
      </c>
      <c r="D16">
        <v>2012.5820000000001</v>
      </c>
      <c r="E16">
        <v>0.293700448308297</v>
      </c>
      <c r="F16">
        <v>2.1135503580676999E-2</v>
      </c>
      <c r="G16">
        <v>0</v>
      </c>
      <c r="H16">
        <v>0</v>
      </c>
      <c r="I16" s="72">
        <f t="shared" si="0"/>
        <v>0.31483595188897401</v>
      </c>
      <c r="J16"/>
    </row>
    <row r="17" spans="1:10" x14ac:dyDescent="0.3">
      <c r="A17">
        <v>2012</v>
      </c>
      <c r="B17">
        <v>8</v>
      </c>
      <c r="C17">
        <v>31</v>
      </c>
      <c r="D17">
        <v>2012.6669999999999</v>
      </c>
      <c r="E17">
        <v>0.29370246789732402</v>
      </c>
      <c r="F17">
        <v>2.5540145245399E-2</v>
      </c>
      <c r="G17">
        <v>0</v>
      </c>
      <c r="H17">
        <v>0</v>
      </c>
      <c r="I17" s="72">
        <f t="shared" si="0"/>
        <v>0.31924261314272301</v>
      </c>
      <c r="J17"/>
    </row>
    <row r="18" spans="1:10" x14ac:dyDescent="0.3">
      <c r="A18">
        <v>2012</v>
      </c>
      <c r="B18">
        <v>9</v>
      </c>
      <c r="C18">
        <v>30</v>
      </c>
      <c r="D18">
        <v>2012.749</v>
      </c>
      <c r="E18">
        <v>0.29370879785390003</v>
      </c>
      <c r="F18">
        <v>2.8402125338421999E-2</v>
      </c>
      <c r="G18">
        <v>0</v>
      </c>
      <c r="H18">
        <v>0</v>
      </c>
      <c r="I18" s="72">
        <f t="shared" si="0"/>
        <v>0.32211092319232204</v>
      </c>
      <c r="J18"/>
    </row>
    <row r="19" spans="1:10" x14ac:dyDescent="0.3">
      <c r="A19">
        <v>2012</v>
      </c>
      <c r="B19">
        <v>10</v>
      </c>
      <c r="C19">
        <v>31</v>
      </c>
      <c r="D19">
        <v>2012.8330000000001</v>
      </c>
      <c r="E19">
        <v>0.29372663660453402</v>
      </c>
      <c r="F19">
        <v>3.1439214117530999E-2</v>
      </c>
      <c r="G19">
        <v>0</v>
      </c>
      <c r="H19">
        <v>0</v>
      </c>
      <c r="I19" s="72">
        <f t="shared" si="0"/>
        <v>0.325165850722065</v>
      </c>
      <c r="J19"/>
    </row>
    <row r="20" spans="1:10" x14ac:dyDescent="0.3">
      <c r="A20">
        <v>2012</v>
      </c>
      <c r="B20">
        <v>11</v>
      </c>
      <c r="C20">
        <v>30</v>
      </c>
      <c r="D20">
        <v>2012.915</v>
      </c>
      <c r="E20">
        <v>0.29376852985723101</v>
      </c>
      <c r="F20">
        <v>3.4162018289788001E-2</v>
      </c>
      <c r="G20">
        <v>0</v>
      </c>
      <c r="H20">
        <v>0</v>
      </c>
      <c r="I20" s="72">
        <f t="shared" si="0"/>
        <v>0.327930548147019</v>
      </c>
      <c r="J20"/>
    </row>
    <row r="21" spans="1:10" x14ac:dyDescent="0.3">
      <c r="A21">
        <v>2012</v>
      </c>
      <c r="B21">
        <v>12</v>
      </c>
      <c r="C21">
        <v>31</v>
      </c>
      <c r="D21">
        <v>2013</v>
      </c>
      <c r="E21">
        <v>0.29403757867355201</v>
      </c>
      <c r="F21">
        <v>3.7139557827927001E-2</v>
      </c>
      <c r="G21">
        <v>0</v>
      </c>
      <c r="H21">
        <v>0</v>
      </c>
      <c r="I21" s="72">
        <f t="shared" si="0"/>
        <v>0.33117713650147901</v>
      </c>
      <c r="J21"/>
    </row>
    <row r="22" spans="1:10" x14ac:dyDescent="0.3">
      <c r="A22">
        <v>2013</v>
      </c>
      <c r="B22">
        <v>1</v>
      </c>
      <c r="C22">
        <v>31</v>
      </c>
      <c r="D22">
        <v>2013.085</v>
      </c>
      <c r="E22">
        <v>0.29493824402456897</v>
      </c>
      <c r="F22">
        <v>3.9874667731971999E-2</v>
      </c>
      <c r="G22">
        <v>0</v>
      </c>
      <c r="H22">
        <v>0</v>
      </c>
      <c r="I22" s="72">
        <f t="shared" si="0"/>
        <v>0.33481291175654099</v>
      </c>
      <c r="J22"/>
    </row>
    <row r="23" spans="1:10" x14ac:dyDescent="0.3">
      <c r="A23">
        <v>2013</v>
      </c>
      <c r="B23">
        <v>2</v>
      </c>
      <c r="C23">
        <v>28</v>
      </c>
      <c r="D23">
        <v>2013.162</v>
      </c>
      <c r="E23">
        <v>0.29690079414563503</v>
      </c>
      <c r="F23">
        <v>4.2304948886317001E-2</v>
      </c>
      <c r="G23">
        <v>0</v>
      </c>
      <c r="H23">
        <v>0</v>
      </c>
      <c r="I23" s="72">
        <f t="shared" si="0"/>
        <v>0.33920574303195206</v>
      </c>
      <c r="J23"/>
    </row>
    <row r="24" spans="1:10" x14ac:dyDescent="0.3">
      <c r="A24">
        <v>2013</v>
      </c>
      <c r="B24">
        <v>3</v>
      </c>
      <c r="C24">
        <v>31</v>
      </c>
      <c r="D24">
        <v>2013.2470000000001</v>
      </c>
      <c r="E24">
        <v>0.30139343567743798</v>
      </c>
      <c r="F24">
        <v>4.5029705757878E-2</v>
      </c>
      <c r="G24">
        <v>0</v>
      </c>
      <c r="H24">
        <v>0</v>
      </c>
      <c r="I24" s="72">
        <f t="shared" si="0"/>
        <v>0.346423141435316</v>
      </c>
      <c r="J24"/>
    </row>
    <row r="25" spans="1:10" x14ac:dyDescent="0.3">
      <c r="A25">
        <v>2013</v>
      </c>
      <c r="B25">
        <v>4</v>
      </c>
      <c r="C25">
        <v>30</v>
      </c>
      <c r="D25">
        <v>2013.329</v>
      </c>
      <c r="E25">
        <v>0.30822236199116299</v>
      </c>
      <c r="F25">
        <v>4.7781468181218999E-2</v>
      </c>
      <c r="G25">
        <v>0</v>
      </c>
      <c r="H25">
        <v>0</v>
      </c>
      <c r="I25" s="72">
        <f t="shared" si="0"/>
        <v>0.35600383017238196</v>
      </c>
      <c r="J25"/>
    </row>
    <row r="26" spans="1:10" x14ac:dyDescent="0.3">
      <c r="A26">
        <v>2013</v>
      </c>
      <c r="B26">
        <v>5</v>
      </c>
      <c r="C26">
        <v>31</v>
      </c>
      <c r="D26">
        <v>2013.414</v>
      </c>
      <c r="E26">
        <v>0.319974143011372</v>
      </c>
      <c r="F26">
        <v>5.1188675713821997E-2</v>
      </c>
      <c r="G26">
        <v>0</v>
      </c>
      <c r="H26">
        <v>0</v>
      </c>
      <c r="I26" s="72">
        <f t="shared" si="0"/>
        <v>0.37116281872519402</v>
      </c>
      <c r="J26"/>
    </row>
    <row r="27" spans="1:10" x14ac:dyDescent="0.3">
      <c r="A27">
        <v>2013</v>
      </c>
      <c r="B27">
        <v>6</v>
      </c>
      <c r="C27">
        <v>30</v>
      </c>
      <c r="D27">
        <v>2013.4960000000001</v>
      </c>
      <c r="E27">
        <v>0.33750830430334799</v>
      </c>
      <c r="F27">
        <v>5.4041445213346001E-2</v>
      </c>
      <c r="G27">
        <v>0</v>
      </c>
      <c r="H27">
        <v>0</v>
      </c>
      <c r="I27" s="72">
        <f t="shared" si="0"/>
        <v>0.39154974951669397</v>
      </c>
      <c r="J27"/>
    </row>
    <row r="28" spans="1:10" x14ac:dyDescent="0.3">
      <c r="A28">
        <v>2013</v>
      </c>
      <c r="B28">
        <v>7</v>
      </c>
      <c r="C28">
        <v>31</v>
      </c>
      <c r="D28">
        <v>2013.5809999999999</v>
      </c>
      <c r="E28">
        <v>0.36370704290131101</v>
      </c>
      <c r="F28">
        <v>5.8064716491612003E-2</v>
      </c>
      <c r="G28">
        <v>0</v>
      </c>
      <c r="H28">
        <v>0</v>
      </c>
      <c r="I28" s="72">
        <f t="shared" si="0"/>
        <v>0.421771759392923</v>
      </c>
      <c r="J28"/>
    </row>
    <row r="29" spans="1:10" x14ac:dyDescent="0.3">
      <c r="A29">
        <v>2013</v>
      </c>
      <c r="B29">
        <v>8</v>
      </c>
      <c r="C29">
        <v>31</v>
      </c>
      <c r="D29">
        <v>2013.6659999999999</v>
      </c>
      <c r="E29">
        <v>0.39981703687616998</v>
      </c>
      <c r="F29">
        <v>6.3122742758893999E-2</v>
      </c>
      <c r="G29">
        <v>0</v>
      </c>
      <c r="H29">
        <v>0</v>
      </c>
      <c r="I29" s="72">
        <f t="shared" si="0"/>
        <v>0.462939779635064</v>
      </c>
      <c r="J29"/>
    </row>
    <row r="30" spans="1:10" x14ac:dyDescent="0.3">
      <c r="A30">
        <v>2013</v>
      </c>
      <c r="B30">
        <v>9</v>
      </c>
      <c r="C30">
        <v>30</v>
      </c>
      <c r="D30">
        <v>2013.748</v>
      </c>
      <c r="E30">
        <v>0.445698741176975</v>
      </c>
      <c r="F30">
        <v>6.7353682578021004E-2</v>
      </c>
      <c r="G30">
        <v>0</v>
      </c>
      <c r="H30">
        <v>0</v>
      </c>
      <c r="I30" s="72">
        <f t="shared" si="0"/>
        <v>0.51305242375499605</v>
      </c>
      <c r="J30"/>
    </row>
    <row r="31" spans="1:10" x14ac:dyDescent="0.3">
      <c r="A31">
        <v>2013</v>
      </c>
      <c r="B31">
        <v>10</v>
      </c>
      <c r="C31">
        <v>31</v>
      </c>
      <c r="D31">
        <v>2013.8330000000001</v>
      </c>
      <c r="E31">
        <v>0.50149546996141303</v>
      </c>
      <c r="F31">
        <v>7.2708346559823001E-2</v>
      </c>
      <c r="G31">
        <v>0</v>
      </c>
      <c r="H31">
        <v>0</v>
      </c>
      <c r="I31" s="72">
        <f t="shared" si="0"/>
        <v>0.57420381652123598</v>
      </c>
      <c r="J31"/>
    </row>
    <row r="32" spans="1:10" x14ac:dyDescent="0.3">
      <c r="A32">
        <v>2013</v>
      </c>
      <c r="B32">
        <v>11</v>
      </c>
      <c r="C32">
        <v>30</v>
      </c>
      <c r="D32">
        <v>2013.915</v>
      </c>
      <c r="E32">
        <v>0.56805477974650398</v>
      </c>
      <c r="F32">
        <v>7.7610379822518005E-2</v>
      </c>
      <c r="G32">
        <v>0</v>
      </c>
      <c r="H32">
        <v>0</v>
      </c>
      <c r="I32" s="72">
        <f t="shared" si="0"/>
        <v>0.64566515956902193</v>
      </c>
      <c r="J32"/>
    </row>
    <row r="33" spans="1:10" x14ac:dyDescent="0.3">
      <c r="A33">
        <v>2013</v>
      </c>
      <c r="B33">
        <v>12</v>
      </c>
      <c r="C33">
        <v>31</v>
      </c>
      <c r="D33">
        <v>2014</v>
      </c>
      <c r="E33">
        <v>0.64962255765071897</v>
      </c>
      <c r="F33">
        <v>8.4381587236871003E-2</v>
      </c>
      <c r="G33">
        <v>0</v>
      </c>
      <c r="H33">
        <v>0</v>
      </c>
      <c r="I33" s="72">
        <f t="shared" si="0"/>
        <v>0.73400414488759003</v>
      </c>
      <c r="J33"/>
    </row>
    <row r="34" spans="1:10" x14ac:dyDescent="0.3">
      <c r="A34">
        <v>2014</v>
      </c>
      <c r="B34">
        <v>1</v>
      </c>
      <c r="C34">
        <v>31</v>
      </c>
      <c r="D34">
        <v>2014.085</v>
      </c>
      <c r="E34">
        <v>0.72609088556508405</v>
      </c>
      <c r="F34">
        <v>9.190234420849E-2</v>
      </c>
      <c r="G34">
        <v>0</v>
      </c>
      <c r="H34">
        <v>0</v>
      </c>
      <c r="I34" s="72">
        <f t="shared" si="0"/>
        <v>0.81799322977357403</v>
      </c>
      <c r="J34"/>
    </row>
    <row r="35" spans="1:10" x14ac:dyDescent="0.3">
      <c r="A35">
        <v>2014</v>
      </c>
      <c r="B35">
        <v>2</v>
      </c>
      <c r="C35">
        <v>28</v>
      </c>
      <c r="D35">
        <v>2014.162</v>
      </c>
      <c r="E35">
        <v>0.80530955464110499</v>
      </c>
      <c r="F35">
        <v>0.101036475200712</v>
      </c>
      <c r="G35">
        <v>0</v>
      </c>
      <c r="H35">
        <v>0</v>
      </c>
      <c r="I35" s="72">
        <f t="shared" si="0"/>
        <v>0.906346029841817</v>
      </c>
      <c r="J35"/>
    </row>
    <row r="36" spans="1:10" x14ac:dyDescent="0.3">
      <c r="A36">
        <v>2014</v>
      </c>
      <c r="B36">
        <v>3</v>
      </c>
      <c r="C36">
        <v>31</v>
      </c>
      <c r="D36">
        <v>2014.2470000000001</v>
      </c>
      <c r="E36">
        <v>0.90442339737981003</v>
      </c>
      <c r="F36">
        <v>0.108944228626995</v>
      </c>
      <c r="G36">
        <v>0</v>
      </c>
      <c r="H36">
        <v>0</v>
      </c>
      <c r="I36" s="72">
        <f t="shared" si="0"/>
        <v>1.013367626006805</v>
      </c>
      <c r="J36"/>
    </row>
    <row r="37" spans="1:10" x14ac:dyDescent="0.3">
      <c r="A37">
        <v>2014</v>
      </c>
      <c r="B37">
        <v>4</v>
      </c>
      <c r="C37">
        <v>30</v>
      </c>
      <c r="D37">
        <v>2014.329</v>
      </c>
      <c r="E37">
        <v>1.0075731067890099</v>
      </c>
      <c r="F37">
        <v>0.119877889013618</v>
      </c>
      <c r="G37">
        <v>0</v>
      </c>
      <c r="H37">
        <v>0</v>
      </c>
      <c r="I37" s="72">
        <f t="shared" si="0"/>
        <v>1.127450995802628</v>
      </c>
      <c r="J37"/>
    </row>
    <row r="38" spans="1:10" x14ac:dyDescent="0.3">
      <c r="A38">
        <v>2014</v>
      </c>
      <c r="B38">
        <v>5</v>
      </c>
      <c r="C38">
        <v>31</v>
      </c>
      <c r="D38">
        <v>2014.414</v>
      </c>
      <c r="E38">
        <v>1.1252952800827301</v>
      </c>
      <c r="F38">
        <v>0.13188380809024799</v>
      </c>
      <c r="G38">
        <v>0</v>
      </c>
      <c r="H38">
        <v>0</v>
      </c>
      <c r="I38" s="72">
        <f t="shared" si="0"/>
        <v>1.2571790881729781</v>
      </c>
      <c r="J38"/>
    </row>
    <row r="39" spans="1:10" x14ac:dyDescent="0.3">
      <c r="A39">
        <v>2014</v>
      </c>
      <c r="B39">
        <v>6</v>
      </c>
      <c r="C39">
        <v>30</v>
      </c>
      <c r="D39">
        <v>2014.4960000000001</v>
      </c>
      <c r="E39">
        <v>1.2499614825227301</v>
      </c>
      <c r="F39">
        <v>0.145149870804089</v>
      </c>
      <c r="G39">
        <v>0</v>
      </c>
      <c r="H39">
        <v>0</v>
      </c>
      <c r="I39" s="72">
        <f t="shared" si="0"/>
        <v>1.3951113533268191</v>
      </c>
      <c r="J39"/>
    </row>
    <row r="40" spans="1:10" x14ac:dyDescent="0.3">
      <c r="A40">
        <v>2014</v>
      </c>
      <c r="B40">
        <v>7</v>
      </c>
      <c r="C40">
        <v>31</v>
      </c>
      <c r="D40">
        <v>2014.5809999999999</v>
      </c>
      <c r="E40">
        <v>1.41907995458211</v>
      </c>
      <c r="F40">
        <v>0.16310397477646499</v>
      </c>
      <c r="G40">
        <v>0</v>
      </c>
      <c r="H40">
        <v>0</v>
      </c>
      <c r="I40" s="72">
        <f t="shared" si="0"/>
        <v>1.5821839293585751</v>
      </c>
      <c r="J40"/>
    </row>
    <row r="41" spans="1:10" x14ac:dyDescent="0.3">
      <c r="A41">
        <v>2014</v>
      </c>
      <c r="B41">
        <v>8</v>
      </c>
      <c r="C41">
        <v>31</v>
      </c>
      <c r="D41">
        <v>2014.6659999999999</v>
      </c>
      <c r="E41">
        <v>1.6515774245998101</v>
      </c>
      <c r="F41">
        <v>0.17711788318875599</v>
      </c>
      <c r="G41">
        <v>0</v>
      </c>
      <c r="H41">
        <v>0</v>
      </c>
      <c r="I41" s="72">
        <f t="shared" si="0"/>
        <v>1.8286953077885659</v>
      </c>
      <c r="J41"/>
    </row>
    <row r="42" spans="1:10" x14ac:dyDescent="0.3">
      <c r="A42">
        <v>2014</v>
      </c>
      <c r="B42">
        <v>9</v>
      </c>
      <c r="C42">
        <v>30</v>
      </c>
      <c r="D42">
        <v>2014.748</v>
      </c>
      <c r="E42">
        <v>1.8930131119562601</v>
      </c>
      <c r="F42">
        <v>0.19608784700033099</v>
      </c>
      <c r="G42">
        <v>0</v>
      </c>
      <c r="H42">
        <v>0</v>
      </c>
      <c r="I42" s="72">
        <f t="shared" si="0"/>
        <v>2.0891009589565912</v>
      </c>
      <c r="J42"/>
    </row>
    <row r="43" spans="1:10" x14ac:dyDescent="0.3">
      <c r="A43">
        <v>2014</v>
      </c>
      <c r="B43">
        <v>10</v>
      </c>
      <c r="C43">
        <v>31</v>
      </c>
      <c r="D43">
        <v>2014.8330000000001</v>
      </c>
      <c r="E43">
        <v>2.1612731244158598</v>
      </c>
      <c r="F43">
        <v>0.21891024566036099</v>
      </c>
      <c r="G43">
        <v>0</v>
      </c>
      <c r="H43">
        <v>0</v>
      </c>
      <c r="I43" s="72">
        <f t="shared" si="0"/>
        <v>2.3801833700762209</v>
      </c>
      <c r="J43"/>
    </row>
    <row r="44" spans="1:10" x14ac:dyDescent="0.3">
      <c r="A44">
        <v>2014</v>
      </c>
      <c r="B44">
        <v>11</v>
      </c>
      <c r="C44">
        <v>30</v>
      </c>
      <c r="D44">
        <v>2014.915</v>
      </c>
      <c r="E44">
        <v>2.43788153422802</v>
      </c>
      <c r="F44">
        <v>0.241457380430386</v>
      </c>
      <c r="G44">
        <v>0</v>
      </c>
      <c r="H44">
        <v>0</v>
      </c>
      <c r="I44" s="72">
        <f t="shared" si="0"/>
        <v>2.6793389146584059</v>
      </c>
      <c r="J44"/>
    </row>
    <row r="45" spans="1:10" x14ac:dyDescent="0.3">
      <c r="A45">
        <v>2014</v>
      </c>
      <c r="B45">
        <v>12</v>
      </c>
      <c r="C45">
        <v>31</v>
      </c>
      <c r="D45">
        <v>2015</v>
      </c>
      <c r="E45">
        <v>2.6395782882419998</v>
      </c>
      <c r="F45">
        <v>0.26536300545840302</v>
      </c>
      <c r="G45">
        <v>0</v>
      </c>
      <c r="H45">
        <v>0</v>
      </c>
      <c r="I45" s="72">
        <f t="shared" si="0"/>
        <v>2.9049412937004027</v>
      </c>
      <c r="J45"/>
    </row>
    <row r="46" spans="1:10" x14ac:dyDescent="0.3">
      <c r="A46">
        <v>2015</v>
      </c>
      <c r="B46">
        <v>1</v>
      </c>
      <c r="C46">
        <v>31</v>
      </c>
      <c r="D46">
        <v>2015.085</v>
      </c>
      <c r="E46">
        <v>2.8883573542768901</v>
      </c>
      <c r="F46">
        <v>0.29052634409104999</v>
      </c>
      <c r="G46">
        <v>0</v>
      </c>
      <c r="H46">
        <v>0</v>
      </c>
      <c r="I46" s="72">
        <f t="shared" si="0"/>
        <v>3.1788836983679403</v>
      </c>
      <c r="J46"/>
    </row>
    <row r="47" spans="1:10" x14ac:dyDescent="0.3">
      <c r="A47">
        <v>2015</v>
      </c>
      <c r="B47">
        <v>2</v>
      </c>
      <c r="C47">
        <v>28</v>
      </c>
      <c r="D47">
        <v>2015.162</v>
      </c>
      <c r="E47">
        <v>3.2534481057595102</v>
      </c>
      <c r="F47">
        <v>0.31669210314525298</v>
      </c>
      <c r="G47">
        <v>0</v>
      </c>
      <c r="H47">
        <v>0</v>
      </c>
      <c r="I47" s="72">
        <f t="shared" si="0"/>
        <v>3.5701402089047631</v>
      </c>
      <c r="J47"/>
    </row>
    <row r="48" spans="1:10" x14ac:dyDescent="0.3">
      <c r="A48">
        <v>2015</v>
      </c>
      <c r="B48">
        <v>3</v>
      </c>
      <c r="C48">
        <v>31</v>
      </c>
      <c r="D48">
        <v>2015.2470000000001</v>
      </c>
      <c r="E48">
        <v>3.67427759954374</v>
      </c>
      <c r="F48">
        <v>0.34861127545634402</v>
      </c>
      <c r="G48">
        <v>0</v>
      </c>
      <c r="H48">
        <v>0</v>
      </c>
      <c r="I48" s="72">
        <f t="shared" si="0"/>
        <v>4.022888875000084</v>
      </c>
      <c r="J48"/>
    </row>
    <row r="49" spans="1:18" x14ac:dyDescent="0.3">
      <c r="A49">
        <v>2015</v>
      </c>
      <c r="B49">
        <v>4</v>
      </c>
      <c r="C49">
        <v>30</v>
      </c>
      <c r="D49">
        <v>2015.329</v>
      </c>
      <c r="E49">
        <v>4.0961122257999696</v>
      </c>
      <c r="F49">
        <v>0.38354222708683899</v>
      </c>
      <c r="G49">
        <v>0</v>
      </c>
      <c r="H49">
        <v>0</v>
      </c>
      <c r="I49" s="72">
        <f t="shared" si="0"/>
        <v>4.479654452886809</v>
      </c>
      <c r="J49"/>
    </row>
    <row r="50" spans="1:18" x14ac:dyDescent="0.3">
      <c r="A50">
        <v>2015</v>
      </c>
      <c r="B50">
        <v>5</v>
      </c>
      <c r="C50">
        <v>31</v>
      </c>
      <c r="D50">
        <v>2015.414</v>
      </c>
      <c r="E50">
        <v>4.5433189498872402</v>
      </c>
      <c r="F50">
        <v>0.42273978508021998</v>
      </c>
      <c r="G50">
        <v>0</v>
      </c>
      <c r="H50">
        <v>0</v>
      </c>
      <c r="I50" s="72">
        <f t="shared" si="0"/>
        <v>4.9660587349674605</v>
      </c>
      <c r="J50"/>
    </row>
    <row r="51" spans="1:18" x14ac:dyDescent="0.3">
      <c r="A51">
        <v>2015</v>
      </c>
      <c r="B51">
        <v>6</v>
      </c>
      <c r="C51">
        <v>30</v>
      </c>
      <c r="D51">
        <v>2015.4960000000001</v>
      </c>
      <c r="E51">
        <v>4.9833208449428197</v>
      </c>
      <c r="F51">
        <v>0.46602141000736103</v>
      </c>
      <c r="G51">
        <v>0</v>
      </c>
      <c r="H51">
        <v>0</v>
      </c>
      <c r="I51" s="72">
        <f t="shared" si="0"/>
        <v>5.4493422549501807</v>
      </c>
      <c r="J51"/>
    </row>
    <row r="52" spans="1:18" x14ac:dyDescent="0.3">
      <c r="A52">
        <v>2015</v>
      </c>
      <c r="B52">
        <v>7</v>
      </c>
      <c r="C52">
        <v>31</v>
      </c>
      <c r="D52">
        <v>2015.5809999999999</v>
      </c>
      <c r="E52">
        <v>5.3894383439287301</v>
      </c>
      <c r="F52">
        <v>0.51350153282194799</v>
      </c>
      <c r="G52">
        <v>0</v>
      </c>
      <c r="H52">
        <v>0</v>
      </c>
      <c r="I52" s="72">
        <f t="shared" si="0"/>
        <v>5.9029398767506782</v>
      </c>
      <c r="J52"/>
    </row>
    <row r="53" spans="1:18" x14ac:dyDescent="0.3">
      <c r="A53">
        <v>2015</v>
      </c>
      <c r="B53">
        <v>8</v>
      </c>
      <c r="C53">
        <v>31</v>
      </c>
      <c r="D53">
        <v>2015.6659999999999</v>
      </c>
      <c r="E53">
        <v>5.7122609764407404</v>
      </c>
      <c r="F53">
        <v>0.56475065652346201</v>
      </c>
      <c r="G53">
        <v>0</v>
      </c>
      <c r="H53">
        <v>0</v>
      </c>
      <c r="I53" s="72">
        <f t="shared" si="0"/>
        <v>6.2770116329642027</v>
      </c>
      <c r="J53"/>
    </row>
    <row r="54" spans="1:18" x14ac:dyDescent="0.3">
      <c r="A54">
        <v>2015</v>
      </c>
      <c r="B54">
        <v>9</v>
      </c>
      <c r="C54">
        <v>30</v>
      </c>
      <c r="D54">
        <v>2015.748</v>
      </c>
      <c r="E54">
        <v>6.0277236703100403</v>
      </c>
      <c r="F54">
        <v>0.61463940501780401</v>
      </c>
      <c r="G54">
        <v>0</v>
      </c>
      <c r="H54">
        <v>0</v>
      </c>
      <c r="I54" s="72">
        <f t="shared" si="0"/>
        <v>6.642363075327844</v>
      </c>
      <c r="J54"/>
    </row>
    <row r="55" spans="1:18" x14ac:dyDescent="0.3">
      <c r="A55">
        <v>2015</v>
      </c>
      <c r="B55">
        <v>10</v>
      </c>
      <c r="C55">
        <v>31</v>
      </c>
      <c r="D55">
        <v>2015.8330000000001</v>
      </c>
      <c r="E55">
        <v>6.3542175630550197</v>
      </c>
      <c r="F55">
        <v>0.66307137082445899</v>
      </c>
      <c r="G55">
        <v>0</v>
      </c>
      <c r="H55">
        <v>0</v>
      </c>
      <c r="I55" s="72">
        <f t="shared" si="0"/>
        <v>7.0172889338794784</v>
      </c>
      <c r="J55"/>
    </row>
    <row r="56" spans="1:18" x14ac:dyDescent="0.3">
      <c r="A56">
        <v>2015</v>
      </c>
      <c r="B56">
        <v>11</v>
      </c>
      <c r="C56">
        <v>30</v>
      </c>
      <c r="D56">
        <v>2015.915</v>
      </c>
      <c r="E56">
        <v>6.6717309719569302</v>
      </c>
      <c r="F56">
        <v>0.71098428461563201</v>
      </c>
      <c r="G56">
        <v>0</v>
      </c>
      <c r="H56">
        <v>0</v>
      </c>
      <c r="I56" s="72">
        <f t="shared" si="0"/>
        <v>7.3827152565725624</v>
      </c>
      <c r="J56"/>
    </row>
    <row r="57" spans="1:18" x14ac:dyDescent="0.3">
      <c r="A57">
        <v>2015</v>
      </c>
      <c r="B57">
        <v>12</v>
      </c>
      <c r="C57">
        <v>31</v>
      </c>
      <c r="D57">
        <v>2016</v>
      </c>
      <c r="E57">
        <v>7.0016556549412199</v>
      </c>
      <c r="F57">
        <v>0.76148615112147799</v>
      </c>
      <c r="G57">
        <v>0</v>
      </c>
      <c r="H57">
        <v>0</v>
      </c>
      <c r="I57" s="72">
        <f t="shared" si="0"/>
        <v>7.7631418060626975</v>
      </c>
      <c r="J57"/>
    </row>
    <row r="58" spans="1:18" x14ac:dyDescent="0.3">
      <c r="A58">
        <v>2016</v>
      </c>
      <c r="B58">
        <v>1</v>
      </c>
      <c r="C58">
        <v>31</v>
      </c>
      <c r="D58">
        <v>2016.085</v>
      </c>
      <c r="E58">
        <v>7.3318351422794903</v>
      </c>
      <c r="F58">
        <v>0.81330434293172205</v>
      </c>
      <c r="G58">
        <v>0</v>
      </c>
      <c r="H58">
        <v>0</v>
      </c>
      <c r="I58" s="72">
        <f t="shared" si="0"/>
        <v>8.145139485211212</v>
      </c>
      <c r="J58"/>
    </row>
    <row r="59" spans="1:18" x14ac:dyDescent="0.3">
      <c r="A59">
        <v>2016</v>
      </c>
      <c r="B59">
        <v>2</v>
      </c>
      <c r="C59">
        <v>29</v>
      </c>
      <c r="D59">
        <v>2016.164</v>
      </c>
      <c r="E59">
        <v>7.50138199842426</v>
      </c>
      <c r="F59">
        <v>0.86254407969813096</v>
      </c>
      <c r="G59">
        <v>0</v>
      </c>
      <c r="H59">
        <v>0</v>
      </c>
      <c r="I59" s="72">
        <f t="shared" si="0"/>
        <v>8.3639260781223914</v>
      </c>
      <c r="J59"/>
    </row>
    <row r="60" spans="1:18" x14ac:dyDescent="0.3">
      <c r="A60">
        <v>2016</v>
      </c>
      <c r="B60">
        <v>3</v>
      </c>
      <c r="C60">
        <v>31</v>
      </c>
      <c r="D60">
        <v>2016.249</v>
      </c>
      <c r="E60">
        <v>7.6828893627911699</v>
      </c>
      <c r="F60">
        <v>0.91698439017889999</v>
      </c>
      <c r="G60">
        <v>0</v>
      </c>
      <c r="H60">
        <v>0</v>
      </c>
      <c r="I60" s="72">
        <f t="shared" si="0"/>
        <v>8.5998737529700691</v>
      </c>
      <c r="J60"/>
    </row>
    <row r="61" spans="1:18" x14ac:dyDescent="0.3">
      <c r="A61">
        <v>2016</v>
      </c>
      <c r="B61">
        <v>4</v>
      </c>
      <c r="C61">
        <v>30</v>
      </c>
      <c r="D61">
        <v>2016.3309999999999</v>
      </c>
      <c r="E61">
        <v>7.8587556179529203</v>
      </c>
      <c r="F61">
        <v>0.97158576227692695</v>
      </c>
      <c r="G61">
        <v>0</v>
      </c>
      <c r="H61">
        <v>0</v>
      </c>
      <c r="I61" s="72">
        <f t="shared" si="0"/>
        <v>8.8303413802298465</v>
      </c>
      <c r="J61"/>
    </row>
    <row r="62" spans="1:18" x14ac:dyDescent="0.3">
      <c r="A62">
        <v>2016</v>
      </c>
      <c r="B62">
        <v>5</v>
      </c>
      <c r="C62">
        <v>31</v>
      </c>
      <c r="D62">
        <v>2016.415</v>
      </c>
      <c r="E62">
        <v>8.0395408361698504</v>
      </c>
      <c r="F62">
        <v>1.0283872538434999</v>
      </c>
      <c r="G62">
        <v>0</v>
      </c>
      <c r="H62">
        <v>0</v>
      </c>
      <c r="I62" s="72">
        <f t="shared" si="0"/>
        <v>9.0679280900133499</v>
      </c>
      <c r="J62"/>
    </row>
    <row r="63" spans="1:18" s="35" customFormat="1" x14ac:dyDescent="0.3">
      <c r="A63">
        <v>2016</v>
      </c>
      <c r="B63">
        <v>6</v>
      </c>
      <c r="C63">
        <v>30</v>
      </c>
      <c r="D63">
        <v>2016.4970000000001</v>
      </c>
      <c r="E63">
        <v>8.2145386784043897</v>
      </c>
      <c r="F63">
        <v>1.08761816258043</v>
      </c>
      <c r="G63">
        <v>0</v>
      </c>
      <c r="H63">
        <v>0</v>
      </c>
      <c r="I63" s="106">
        <f t="shared" si="0"/>
        <v>9.3021568409848197</v>
      </c>
      <c r="J63" s="105">
        <v>9.3021568409848197</v>
      </c>
    </row>
    <row r="64" spans="1:18" x14ac:dyDescent="0.3">
      <c r="A64">
        <v>2016</v>
      </c>
      <c r="B64">
        <v>7</v>
      </c>
      <c r="C64">
        <v>31</v>
      </c>
      <c r="D64">
        <v>2016.5820000000001</v>
      </c>
      <c r="E64">
        <v>8.3954466840063091</v>
      </c>
      <c r="F64">
        <v>1.1495620163023901</v>
      </c>
      <c r="G64">
        <v>0</v>
      </c>
      <c r="H64">
        <v>0</v>
      </c>
      <c r="I64" s="72">
        <f t="shared" si="0"/>
        <v>9.5450087003086992</v>
      </c>
      <c r="J64"/>
      <c r="K64" s="11" t="s">
        <v>260</v>
      </c>
      <c r="L64" s="11" t="s">
        <v>261</v>
      </c>
      <c r="M64" s="11" t="s">
        <v>272</v>
      </c>
      <c r="N64" s="2" t="s">
        <v>181</v>
      </c>
      <c r="O64" s="2" t="s">
        <v>273</v>
      </c>
      <c r="P64" s="2" t="s">
        <v>274</v>
      </c>
      <c r="Q64" s="2" t="s">
        <v>275</v>
      </c>
      <c r="R64" s="2" t="s">
        <v>276</v>
      </c>
    </row>
    <row r="65" spans="1:18" x14ac:dyDescent="0.3">
      <c r="A65">
        <v>2016</v>
      </c>
      <c r="B65">
        <v>8</v>
      </c>
      <c r="C65">
        <v>31</v>
      </c>
      <c r="D65">
        <v>2016.6669999999999</v>
      </c>
      <c r="E65">
        <v>8.5763882307855894</v>
      </c>
      <c r="F65">
        <v>1.2140604885072801</v>
      </c>
      <c r="G65">
        <v>0</v>
      </c>
      <c r="H65">
        <v>0</v>
      </c>
      <c r="I65" s="72">
        <f t="shared" si="0"/>
        <v>9.7904487192928702</v>
      </c>
      <c r="J65"/>
      <c r="K65" s="11">
        <v>2016</v>
      </c>
      <c r="L65" s="11">
        <v>6</v>
      </c>
      <c r="M65" s="97">
        <f>I63</f>
        <v>9.3021568409848197</v>
      </c>
      <c r="N65" s="2">
        <f>'Abatement - Report 3'!$C$6</f>
        <v>2.7</v>
      </c>
      <c r="O65" s="99">
        <f>M65*N65</f>
        <v>25.115823470659016</v>
      </c>
      <c r="P65" s="99">
        <f>O65*44/12</f>
        <v>92.091352725749729</v>
      </c>
      <c r="Q65" s="96">
        <f>'Fuel Emissions'!$D$46</f>
        <v>0.11453036773584907</v>
      </c>
      <c r="R65" s="98">
        <f>P65-Q65</f>
        <v>91.976822358013877</v>
      </c>
    </row>
    <row r="66" spans="1:18" x14ac:dyDescent="0.3">
      <c r="A66">
        <v>2016</v>
      </c>
      <c r="B66">
        <v>9</v>
      </c>
      <c r="C66">
        <v>30</v>
      </c>
      <c r="D66">
        <v>2016.749</v>
      </c>
      <c r="E66">
        <v>8.7514841669684706</v>
      </c>
      <c r="F66">
        <v>1.2735363360149501</v>
      </c>
      <c r="G66">
        <v>0</v>
      </c>
      <c r="H66">
        <v>0</v>
      </c>
      <c r="I66" s="72">
        <f t="shared" si="0"/>
        <v>10.02502050298342</v>
      </c>
      <c r="J66"/>
      <c r="K66" s="11">
        <v>2017</v>
      </c>
      <c r="L66" s="11">
        <v>6</v>
      </c>
      <c r="M66" s="97">
        <f>I75</f>
        <v>12.091006455122891</v>
      </c>
      <c r="N66" s="2">
        <f>'Abatement - Report 3'!$C$6</f>
        <v>2.7</v>
      </c>
      <c r="O66" s="99">
        <f t="shared" ref="O66:O74" si="1">M66*N66</f>
        <v>32.645717428831809</v>
      </c>
      <c r="P66" s="99">
        <f t="shared" ref="P66:P74" si="2">O66*44/12</f>
        <v>119.70096390571662</v>
      </c>
      <c r="Q66" s="96">
        <f>'Fuel Emissions'!$D$46</f>
        <v>0.11453036773584907</v>
      </c>
      <c r="R66" s="96">
        <f t="shared" ref="R66:R74" si="3">P66-Q66</f>
        <v>119.58643353798077</v>
      </c>
    </row>
    <row r="67" spans="1:18" x14ac:dyDescent="0.3">
      <c r="A67">
        <v>2016</v>
      </c>
      <c r="B67">
        <v>10</v>
      </c>
      <c r="C67">
        <v>31</v>
      </c>
      <c r="D67">
        <v>2016.8330000000001</v>
      </c>
      <c r="E67">
        <v>8.9323672546638395</v>
      </c>
      <c r="F67">
        <v>1.3270861468439701</v>
      </c>
      <c r="G67">
        <v>0</v>
      </c>
      <c r="H67">
        <v>0</v>
      </c>
      <c r="I67" s="72">
        <f t="shared" si="0"/>
        <v>10.259453401507809</v>
      </c>
      <c r="J67"/>
      <c r="K67" s="11">
        <v>2018</v>
      </c>
      <c r="L67" s="11">
        <v>6</v>
      </c>
      <c r="M67" s="97">
        <f>I87</f>
        <v>15.674487178221931</v>
      </c>
      <c r="N67" s="2">
        <f>'Abatement - Report 3'!$C$6</f>
        <v>2.7</v>
      </c>
      <c r="O67" s="99">
        <f t="shared" si="1"/>
        <v>42.321115381199213</v>
      </c>
      <c r="P67" s="99">
        <f t="shared" si="2"/>
        <v>155.17742306439712</v>
      </c>
      <c r="Q67" s="96">
        <f>'Fuel Emissions'!$D$46</f>
        <v>0.11453036773584907</v>
      </c>
      <c r="R67" s="96">
        <f t="shared" si="3"/>
        <v>155.06289269666127</v>
      </c>
    </row>
    <row r="68" spans="1:18" x14ac:dyDescent="0.3">
      <c r="A68">
        <v>2016</v>
      </c>
      <c r="B68">
        <v>11</v>
      </c>
      <c r="C68">
        <v>30</v>
      </c>
      <c r="D68">
        <v>2016.915</v>
      </c>
      <c r="E68">
        <v>9.1073306760642403</v>
      </c>
      <c r="F68">
        <v>1.3771372398655499</v>
      </c>
      <c r="G68">
        <v>0</v>
      </c>
      <c r="H68">
        <v>0</v>
      </c>
      <c r="I68" s="72">
        <f t="shared" si="0"/>
        <v>10.484467915929791</v>
      </c>
      <c r="J68"/>
      <c r="K68" s="11">
        <v>2019</v>
      </c>
      <c r="L68" s="11">
        <v>6</v>
      </c>
      <c r="M68" s="97">
        <f>I99</f>
        <v>19.20479065751141</v>
      </c>
      <c r="N68" s="2">
        <f>'Abatement - Report 3'!$C$6</f>
        <v>2.7</v>
      </c>
      <c r="O68" s="99">
        <f t="shared" si="1"/>
        <v>51.852934775280808</v>
      </c>
      <c r="P68" s="99">
        <f t="shared" si="2"/>
        <v>190.12742750936297</v>
      </c>
      <c r="Q68" s="96">
        <f>'Fuel Emissions'!$D$46</f>
        <v>0.11453036773584907</v>
      </c>
      <c r="R68" s="96">
        <f t="shared" si="3"/>
        <v>190.01289714162712</v>
      </c>
    </row>
    <row r="69" spans="1:18" x14ac:dyDescent="0.3">
      <c r="A69">
        <v>2016</v>
      </c>
      <c r="B69">
        <v>12</v>
      </c>
      <c r="C69">
        <v>31</v>
      </c>
      <c r="D69">
        <v>2017</v>
      </c>
      <c r="E69">
        <v>9.28800171989419</v>
      </c>
      <c r="F69">
        <v>1.42826617282957</v>
      </c>
      <c r="G69">
        <v>0</v>
      </c>
      <c r="H69">
        <v>0</v>
      </c>
      <c r="I69" s="72">
        <f t="shared" si="0"/>
        <v>10.71626789272376</v>
      </c>
      <c r="J69"/>
      <c r="K69" s="11">
        <v>2020</v>
      </c>
      <c r="L69" s="11">
        <v>6</v>
      </c>
      <c r="M69" s="97">
        <f>I111</f>
        <v>22.797078916069481</v>
      </c>
      <c r="N69" s="2">
        <f>'Abatement - Report 3'!$C$6</f>
        <v>2.7</v>
      </c>
      <c r="O69" s="99">
        <f t="shared" si="1"/>
        <v>61.552113073387602</v>
      </c>
      <c r="P69" s="99">
        <f t="shared" si="2"/>
        <v>225.6910812690879</v>
      </c>
      <c r="Q69" s="96">
        <f>'Fuel Emissions'!$D$46</f>
        <v>0.11453036773584907</v>
      </c>
      <c r="R69" s="96">
        <f t="shared" si="3"/>
        <v>225.57655090135205</v>
      </c>
    </row>
    <row r="70" spans="1:18" x14ac:dyDescent="0.3">
      <c r="A70">
        <v>2017</v>
      </c>
      <c r="B70">
        <v>1</v>
      </c>
      <c r="C70">
        <v>31</v>
      </c>
      <c r="D70">
        <v>2017.085</v>
      </c>
      <c r="E70">
        <v>9.4685103239179593</v>
      </c>
      <c r="F70">
        <v>1.4793568609120999</v>
      </c>
      <c r="G70">
        <v>0</v>
      </c>
      <c r="H70">
        <v>0</v>
      </c>
      <c r="I70" s="72">
        <f t="shared" si="0"/>
        <v>10.947867184830059</v>
      </c>
      <c r="J70"/>
      <c r="K70" s="11">
        <v>2021</v>
      </c>
      <c r="L70" s="11">
        <v>6</v>
      </c>
      <c r="M70" s="97">
        <f>I123</f>
        <v>25.99909789787807</v>
      </c>
      <c r="N70" s="2">
        <f>'Abatement - Report 3'!$C$6</f>
        <v>2.7</v>
      </c>
      <c r="O70" s="99">
        <f t="shared" si="1"/>
        <v>70.197564324270786</v>
      </c>
      <c r="P70" s="99">
        <f t="shared" si="2"/>
        <v>257.39106918899284</v>
      </c>
      <c r="Q70" s="96">
        <f>'Fuel Emissions'!$D$46</f>
        <v>0.11453036773584907</v>
      </c>
      <c r="R70" s="96">
        <f t="shared" si="3"/>
        <v>257.27653882125702</v>
      </c>
    </row>
    <row r="71" spans="1:18" x14ac:dyDescent="0.3">
      <c r="A71">
        <v>2017</v>
      </c>
      <c r="B71">
        <v>2</v>
      </c>
      <c r="C71">
        <v>28</v>
      </c>
      <c r="D71">
        <v>2017.162</v>
      </c>
      <c r="E71">
        <v>9.6313818396506896</v>
      </c>
      <c r="F71">
        <v>1.5257848142711501</v>
      </c>
      <c r="G71">
        <v>0</v>
      </c>
      <c r="H71">
        <v>0</v>
      </c>
      <c r="I71" s="72">
        <f t="shared" si="0"/>
        <v>11.157166653921839</v>
      </c>
      <c r="J71"/>
      <c r="K71" s="11">
        <v>2022</v>
      </c>
      <c r="L71" s="11">
        <v>6</v>
      </c>
      <c r="M71" s="97">
        <f>I135</f>
        <v>26.379842514200078</v>
      </c>
      <c r="N71" s="2">
        <f>'Abatement - Report 3'!$C$6</f>
        <v>2.7</v>
      </c>
      <c r="O71" s="99">
        <f t="shared" si="1"/>
        <v>71.225574788340211</v>
      </c>
      <c r="P71" s="99">
        <f t="shared" si="2"/>
        <v>261.16044089058079</v>
      </c>
      <c r="Q71" s="96">
        <f>'Fuel Emissions'!$D$46</f>
        <v>0.11453036773584907</v>
      </c>
      <c r="R71" s="96">
        <f t="shared" si="3"/>
        <v>261.04591052284496</v>
      </c>
    </row>
    <row r="72" spans="1:18" x14ac:dyDescent="0.3">
      <c r="A72">
        <v>2017</v>
      </c>
      <c r="B72">
        <v>3</v>
      </c>
      <c r="C72">
        <v>31</v>
      </c>
      <c r="D72">
        <v>2017.2470000000001</v>
      </c>
      <c r="E72">
        <v>9.8106142503022102</v>
      </c>
      <c r="F72">
        <v>1.58003759617407</v>
      </c>
      <c r="G72">
        <v>0</v>
      </c>
      <c r="H72">
        <v>0</v>
      </c>
      <c r="I72" s="72">
        <f t="shared" si="0"/>
        <v>11.390651846476281</v>
      </c>
      <c r="J72"/>
      <c r="K72" s="11">
        <v>2023</v>
      </c>
      <c r="L72" s="11">
        <v>6</v>
      </c>
      <c r="M72" s="97">
        <f>I147</f>
        <v>29.08110253252724</v>
      </c>
      <c r="N72" s="2">
        <f>'Abatement - Report 3'!$C$6</f>
        <v>2.7</v>
      </c>
      <c r="O72" s="99">
        <f t="shared" si="1"/>
        <v>78.518976837823558</v>
      </c>
      <c r="P72" s="99">
        <f t="shared" si="2"/>
        <v>287.90291507201971</v>
      </c>
      <c r="Q72" s="96">
        <f>'Fuel Emissions'!$D$46</f>
        <v>0.11453036773584907</v>
      </c>
      <c r="R72" s="96">
        <f t="shared" si="3"/>
        <v>287.78838470428389</v>
      </c>
    </row>
    <row r="73" spans="1:18" x14ac:dyDescent="0.3">
      <c r="A73">
        <v>2017</v>
      </c>
      <c r="B73">
        <v>4</v>
      </c>
      <c r="C73">
        <v>30</v>
      </c>
      <c r="D73">
        <v>2017.329</v>
      </c>
      <c r="E73">
        <v>9.9837617673822106</v>
      </c>
      <c r="F73">
        <v>1.6356527902401301</v>
      </c>
      <c r="G73">
        <v>0</v>
      </c>
      <c r="H73">
        <v>0</v>
      </c>
      <c r="I73" s="72">
        <f t="shared" si="0"/>
        <v>11.61941455762234</v>
      </c>
      <c r="J73"/>
      <c r="K73" s="11">
        <v>2024</v>
      </c>
      <c r="L73" s="11">
        <v>6</v>
      </c>
      <c r="M73" s="97">
        <f>I159</f>
        <v>31.263195982665849</v>
      </c>
      <c r="N73" s="2">
        <f>'Abatement - Report 3'!$C$6</f>
        <v>2.7</v>
      </c>
      <c r="O73" s="99">
        <f t="shared" si="1"/>
        <v>84.410629153197803</v>
      </c>
      <c r="P73" s="99">
        <f t="shared" si="2"/>
        <v>309.50564022839194</v>
      </c>
      <c r="Q73" s="96">
        <f>'Fuel Emissions'!$D$46</f>
        <v>0.11453036773584907</v>
      </c>
      <c r="R73" s="96">
        <f t="shared" si="3"/>
        <v>309.39110986065612</v>
      </c>
    </row>
    <row r="74" spans="1:18" x14ac:dyDescent="0.3">
      <c r="A74">
        <v>2017</v>
      </c>
      <c r="B74">
        <v>5</v>
      </c>
      <c r="C74">
        <v>31</v>
      </c>
      <c r="D74">
        <v>2017.414</v>
      </c>
      <c r="E74">
        <v>10.162398384942399</v>
      </c>
      <c r="F74">
        <v>1.6933620219044001</v>
      </c>
      <c r="G74">
        <v>0</v>
      </c>
      <c r="H74">
        <v>0</v>
      </c>
      <c r="I74" s="72">
        <f t="shared" si="0"/>
        <v>11.8557604068468</v>
      </c>
      <c r="J74"/>
      <c r="K74" s="11">
        <v>2025</v>
      </c>
      <c r="L74" s="11">
        <v>6</v>
      </c>
      <c r="M74" s="97">
        <f>I171</f>
        <v>32.834648742936054</v>
      </c>
      <c r="N74" s="2">
        <f>'Abatement - Report 3'!$C$6</f>
        <v>2.7</v>
      </c>
      <c r="O74" s="99">
        <f t="shared" si="1"/>
        <v>88.653551605927348</v>
      </c>
      <c r="P74" s="99">
        <f t="shared" si="2"/>
        <v>325.06302255506694</v>
      </c>
      <c r="Q74" s="96">
        <f>'Fuel Emissions'!$D$46</f>
        <v>0.11453036773584907</v>
      </c>
      <c r="R74" s="96">
        <f t="shared" si="3"/>
        <v>324.94849218733111</v>
      </c>
    </row>
    <row r="75" spans="1:18" x14ac:dyDescent="0.3">
      <c r="A75">
        <v>2017</v>
      </c>
      <c r="B75">
        <v>6</v>
      </c>
      <c r="C75">
        <v>30</v>
      </c>
      <c r="D75">
        <v>2017.4960000000001</v>
      </c>
      <c r="E75">
        <v>10.334972314555801</v>
      </c>
      <c r="F75">
        <v>1.7560341405670901</v>
      </c>
      <c r="G75">
        <v>0</v>
      </c>
      <c r="H75">
        <v>0</v>
      </c>
      <c r="I75" s="106">
        <f t="shared" ref="I75:I138" si="4">E75+F75</f>
        <v>12.091006455122891</v>
      </c>
      <c r="J75">
        <v>12.091006455122891</v>
      </c>
    </row>
    <row r="76" spans="1:18" x14ac:dyDescent="0.3">
      <c r="A76">
        <v>2017</v>
      </c>
      <c r="B76">
        <v>7</v>
      </c>
      <c r="C76">
        <v>31</v>
      </c>
      <c r="D76">
        <v>2017.5809999999999</v>
      </c>
      <c r="E76">
        <v>10.5129617313402</v>
      </c>
      <c r="F76">
        <v>1.82163737688285</v>
      </c>
      <c r="G76">
        <v>0</v>
      </c>
      <c r="H76">
        <v>0</v>
      </c>
      <c r="I76" s="72">
        <f t="shared" si="4"/>
        <v>12.334599108223049</v>
      </c>
      <c r="J76"/>
    </row>
    <row r="77" spans="1:18" x14ac:dyDescent="0.3">
      <c r="A77">
        <v>2017</v>
      </c>
      <c r="B77">
        <v>8</v>
      </c>
      <c r="C77">
        <v>31</v>
      </c>
      <c r="D77">
        <v>2017.6659999999999</v>
      </c>
      <c r="E77">
        <v>10.690582730926099</v>
      </c>
      <c r="F77">
        <v>1.8911248647732299</v>
      </c>
      <c r="G77">
        <v>0</v>
      </c>
      <c r="H77">
        <v>0</v>
      </c>
      <c r="I77" s="72">
        <f t="shared" si="4"/>
        <v>12.58170759569933</v>
      </c>
      <c r="J77"/>
    </row>
    <row r="78" spans="1:18" x14ac:dyDescent="0.3">
      <c r="A78">
        <v>2017</v>
      </c>
      <c r="B78">
        <v>9</v>
      </c>
      <c r="C78">
        <v>30</v>
      </c>
      <c r="D78">
        <v>2017.748</v>
      </c>
      <c r="E78">
        <v>10.862099725247701</v>
      </c>
      <c r="F78">
        <v>1.95400525175385</v>
      </c>
      <c r="G78">
        <v>0</v>
      </c>
      <c r="H78">
        <v>0</v>
      </c>
      <c r="I78" s="72">
        <f t="shared" si="4"/>
        <v>12.816104977001551</v>
      </c>
      <c r="J78"/>
    </row>
    <row r="79" spans="1:18" x14ac:dyDescent="0.3">
      <c r="A79">
        <v>2017</v>
      </c>
      <c r="B79">
        <v>10</v>
      </c>
      <c r="C79">
        <v>31</v>
      </c>
      <c r="D79">
        <v>2017.8330000000001</v>
      </c>
      <c r="E79">
        <v>11.0389240501408</v>
      </c>
      <c r="F79">
        <v>2.0063380323388902</v>
      </c>
      <c r="G79">
        <v>0</v>
      </c>
      <c r="H79">
        <v>0</v>
      </c>
      <c r="I79" s="72">
        <f t="shared" si="4"/>
        <v>13.04526208247969</v>
      </c>
      <c r="J79"/>
    </row>
    <row r="80" spans="1:18" x14ac:dyDescent="0.3">
      <c r="A80">
        <v>2017</v>
      </c>
      <c r="B80">
        <v>11</v>
      </c>
      <c r="C80">
        <v>30</v>
      </c>
      <c r="D80">
        <v>2017.915</v>
      </c>
      <c r="E80">
        <v>11.209626610901401</v>
      </c>
      <c r="F80">
        <v>2.05418225279973</v>
      </c>
      <c r="G80">
        <v>0</v>
      </c>
      <c r="H80">
        <v>0</v>
      </c>
      <c r="I80" s="72">
        <f t="shared" si="4"/>
        <v>13.263808863701131</v>
      </c>
      <c r="J80"/>
    </row>
    <row r="81" spans="1:10" x14ac:dyDescent="0.3">
      <c r="A81">
        <v>2017</v>
      </c>
      <c r="B81">
        <v>12</v>
      </c>
      <c r="C81">
        <v>31</v>
      </c>
      <c r="D81">
        <v>2018</v>
      </c>
      <c r="E81">
        <v>11.3926510530081</v>
      </c>
      <c r="F81">
        <v>2.1026674465216502</v>
      </c>
      <c r="G81">
        <v>0</v>
      </c>
      <c r="H81">
        <v>0</v>
      </c>
      <c r="I81" s="72">
        <f t="shared" si="4"/>
        <v>13.49531849952975</v>
      </c>
      <c r="J81"/>
    </row>
    <row r="82" spans="1:10" x14ac:dyDescent="0.3">
      <c r="A82">
        <v>2018</v>
      </c>
      <c r="B82">
        <v>1</v>
      </c>
      <c r="C82">
        <v>31</v>
      </c>
      <c r="D82">
        <v>2018.085</v>
      </c>
      <c r="E82">
        <v>11.712562305982299</v>
      </c>
      <c r="F82">
        <v>2.1516206599027798</v>
      </c>
      <c r="G82">
        <v>0</v>
      </c>
      <c r="H82">
        <v>0</v>
      </c>
      <c r="I82" s="72">
        <f t="shared" si="4"/>
        <v>13.864182965885078</v>
      </c>
      <c r="J82"/>
    </row>
    <row r="83" spans="1:10" x14ac:dyDescent="0.3">
      <c r="A83">
        <v>2018</v>
      </c>
      <c r="B83">
        <v>2</v>
      </c>
      <c r="C83">
        <v>28</v>
      </c>
      <c r="D83">
        <v>2018.162</v>
      </c>
      <c r="E83">
        <v>12.0000340295722</v>
      </c>
      <c r="F83">
        <v>2.1969529837347399</v>
      </c>
      <c r="G83">
        <v>0</v>
      </c>
      <c r="H83">
        <v>0</v>
      </c>
      <c r="I83" s="72">
        <f t="shared" si="4"/>
        <v>14.19698701330694</v>
      </c>
      <c r="J83"/>
    </row>
    <row r="84" spans="1:10" x14ac:dyDescent="0.3">
      <c r="A84">
        <v>2018</v>
      </c>
      <c r="B84">
        <v>3</v>
      </c>
      <c r="C84">
        <v>31</v>
      </c>
      <c r="D84">
        <v>2018.2470000000001</v>
      </c>
      <c r="E84">
        <v>12.3165697080887</v>
      </c>
      <c r="F84">
        <v>2.25194068916118</v>
      </c>
      <c r="G84">
        <v>0</v>
      </c>
      <c r="H84">
        <v>0</v>
      </c>
      <c r="I84" s="72">
        <f t="shared" si="4"/>
        <v>14.568510397249881</v>
      </c>
      <c r="J84"/>
    </row>
    <row r="85" spans="1:10" x14ac:dyDescent="0.3">
      <c r="A85">
        <v>2018</v>
      </c>
      <c r="B85">
        <v>4</v>
      </c>
      <c r="C85">
        <v>30</v>
      </c>
      <c r="D85">
        <v>2018.329</v>
      </c>
      <c r="E85">
        <v>12.6210694266818</v>
      </c>
      <c r="F85">
        <v>2.3104274387253199</v>
      </c>
      <c r="G85">
        <v>0</v>
      </c>
      <c r="H85">
        <v>0</v>
      </c>
      <c r="I85" s="72">
        <f t="shared" si="4"/>
        <v>14.931496865407119</v>
      </c>
      <c r="J85"/>
    </row>
    <row r="86" spans="1:10" x14ac:dyDescent="0.3">
      <c r="A86">
        <v>2018</v>
      </c>
      <c r="B86">
        <v>5</v>
      </c>
      <c r="C86">
        <v>31</v>
      </c>
      <c r="D86">
        <v>2018.414</v>
      </c>
      <c r="E86">
        <v>12.9337485309225</v>
      </c>
      <c r="F86">
        <v>2.37189218558209</v>
      </c>
      <c r="G86">
        <v>0</v>
      </c>
      <c r="H86">
        <v>0</v>
      </c>
      <c r="I86" s="72">
        <f t="shared" si="4"/>
        <v>15.305640716504591</v>
      </c>
      <c r="J86"/>
    </row>
    <row r="87" spans="1:10" x14ac:dyDescent="0.3">
      <c r="A87">
        <v>2018</v>
      </c>
      <c r="B87">
        <v>6</v>
      </c>
      <c r="C87">
        <v>30</v>
      </c>
      <c r="D87">
        <v>2018.4960000000001</v>
      </c>
      <c r="E87">
        <v>13.2330101821833</v>
      </c>
      <c r="F87">
        <v>2.44147699603863</v>
      </c>
      <c r="G87">
        <v>0</v>
      </c>
      <c r="H87">
        <v>0</v>
      </c>
      <c r="I87" s="106">
        <f t="shared" si="4"/>
        <v>15.674487178221931</v>
      </c>
      <c r="J87">
        <v>15.674487178221931</v>
      </c>
    </row>
    <row r="88" spans="1:10" x14ac:dyDescent="0.3">
      <c r="A88">
        <v>2018</v>
      </c>
      <c r="B88">
        <v>7</v>
      </c>
      <c r="C88">
        <v>31</v>
      </c>
      <c r="D88">
        <v>2018.5809999999999</v>
      </c>
      <c r="E88">
        <v>13.538751272600299</v>
      </c>
      <c r="F88">
        <v>2.5144322194342501</v>
      </c>
      <c r="G88">
        <v>0</v>
      </c>
      <c r="H88">
        <v>0</v>
      </c>
      <c r="I88" s="72">
        <f t="shared" si="4"/>
        <v>16.053183492034549</v>
      </c>
      <c r="J88"/>
    </row>
    <row r="89" spans="1:10" x14ac:dyDescent="0.3">
      <c r="A89">
        <v>2018</v>
      </c>
      <c r="B89">
        <v>8</v>
      </c>
      <c r="C89">
        <v>31</v>
      </c>
      <c r="D89">
        <v>2018.6659999999999</v>
      </c>
      <c r="E89">
        <v>13.842301399337201</v>
      </c>
      <c r="F89">
        <v>2.5926586212178702</v>
      </c>
      <c r="G89">
        <v>0</v>
      </c>
      <c r="H89">
        <v>0</v>
      </c>
      <c r="I89" s="72">
        <f t="shared" si="4"/>
        <v>16.434960020555071</v>
      </c>
      <c r="J89"/>
    </row>
    <row r="90" spans="1:10" x14ac:dyDescent="0.3">
      <c r="A90">
        <v>2018</v>
      </c>
      <c r="B90">
        <v>9</v>
      </c>
      <c r="C90">
        <v>30</v>
      </c>
      <c r="D90">
        <v>2018.748</v>
      </c>
      <c r="E90">
        <v>14.133921558040999</v>
      </c>
      <c r="F90">
        <v>2.6625650560588499</v>
      </c>
      <c r="G90">
        <v>0</v>
      </c>
      <c r="H90">
        <v>0</v>
      </c>
      <c r="I90" s="72">
        <f t="shared" si="4"/>
        <v>16.796486614099848</v>
      </c>
      <c r="J90"/>
    </row>
    <row r="91" spans="1:10" x14ac:dyDescent="0.3">
      <c r="A91">
        <v>2018</v>
      </c>
      <c r="B91">
        <v>10</v>
      </c>
      <c r="C91">
        <v>31</v>
      </c>
      <c r="D91">
        <v>2018.8330000000001</v>
      </c>
      <c r="E91">
        <v>14.433005714995099</v>
      </c>
      <c r="F91">
        <v>2.7172717565346298</v>
      </c>
      <c r="G91">
        <v>0</v>
      </c>
      <c r="H91">
        <v>0</v>
      </c>
      <c r="I91" s="72">
        <f t="shared" si="4"/>
        <v>17.15027747152973</v>
      </c>
      <c r="J91"/>
    </row>
    <row r="92" spans="1:10" x14ac:dyDescent="0.3">
      <c r="A92">
        <v>2018</v>
      </c>
      <c r="B92">
        <v>11</v>
      </c>
      <c r="C92">
        <v>30</v>
      </c>
      <c r="D92">
        <v>2018.915</v>
      </c>
      <c r="E92">
        <v>14.7201695351668</v>
      </c>
      <c r="F92">
        <v>2.7663205623729601</v>
      </c>
      <c r="G92">
        <v>0</v>
      </c>
      <c r="H92">
        <v>0</v>
      </c>
      <c r="I92" s="72">
        <f t="shared" si="4"/>
        <v>17.486490097539761</v>
      </c>
      <c r="J92"/>
    </row>
    <row r="93" spans="1:10" x14ac:dyDescent="0.3">
      <c r="A93">
        <v>2018</v>
      </c>
      <c r="B93">
        <v>12</v>
      </c>
      <c r="C93">
        <v>31</v>
      </c>
      <c r="D93">
        <v>2019</v>
      </c>
      <c r="E93">
        <v>15.0085075230317</v>
      </c>
      <c r="F93">
        <v>2.81566298877744</v>
      </c>
      <c r="G93">
        <v>0</v>
      </c>
      <c r="H93">
        <v>0</v>
      </c>
      <c r="I93" s="72">
        <f t="shared" si="4"/>
        <v>17.82417051180914</v>
      </c>
      <c r="J93"/>
    </row>
    <row r="94" spans="1:10" x14ac:dyDescent="0.3">
      <c r="A94">
        <v>2019</v>
      </c>
      <c r="B94">
        <v>1</v>
      </c>
      <c r="C94">
        <v>31</v>
      </c>
      <c r="D94">
        <v>2019.085</v>
      </c>
      <c r="E94">
        <v>15.1677225110534</v>
      </c>
      <c r="F94">
        <v>2.8644697873095999</v>
      </c>
      <c r="G94">
        <v>0</v>
      </c>
      <c r="H94">
        <v>0</v>
      </c>
      <c r="I94" s="72">
        <f t="shared" si="4"/>
        <v>18.032192298363</v>
      </c>
      <c r="J94"/>
    </row>
    <row r="95" spans="1:10" x14ac:dyDescent="0.3">
      <c r="A95">
        <v>2019</v>
      </c>
      <c r="B95">
        <v>2</v>
      </c>
      <c r="C95">
        <v>28</v>
      </c>
      <c r="D95">
        <v>2019.162</v>
      </c>
      <c r="E95">
        <v>15.3109126350843</v>
      </c>
      <c r="F95">
        <v>2.9085080405877699</v>
      </c>
      <c r="G95">
        <v>0</v>
      </c>
      <c r="H95">
        <v>0</v>
      </c>
      <c r="I95" s="72">
        <f t="shared" si="4"/>
        <v>18.219420675672069</v>
      </c>
      <c r="J95"/>
    </row>
    <row r="96" spans="1:10" x14ac:dyDescent="0.3">
      <c r="A96">
        <v>2019</v>
      </c>
      <c r="B96">
        <v>3</v>
      </c>
      <c r="C96">
        <v>31</v>
      </c>
      <c r="D96">
        <v>2019.2470000000001</v>
      </c>
      <c r="E96">
        <v>15.4687576153073</v>
      </c>
      <c r="F96">
        <v>2.9618239486703901</v>
      </c>
      <c r="G96">
        <v>0</v>
      </c>
      <c r="H96">
        <v>0</v>
      </c>
      <c r="I96" s="72">
        <f t="shared" si="4"/>
        <v>18.43058156397769</v>
      </c>
      <c r="J96"/>
    </row>
    <row r="97" spans="1:10" x14ac:dyDescent="0.3">
      <c r="A97">
        <v>2019</v>
      </c>
      <c r="B97">
        <v>4</v>
      </c>
      <c r="C97">
        <v>30</v>
      </c>
      <c r="D97">
        <v>2019.329</v>
      </c>
      <c r="E97">
        <v>15.6208200115647</v>
      </c>
      <c r="F97">
        <v>3.0187553543746</v>
      </c>
      <c r="G97">
        <v>0</v>
      </c>
      <c r="H97">
        <v>0</v>
      </c>
      <c r="I97" s="72">
        <f t="shared" si="4"/>
        <v>18.639575365939301</v>
      </c>
      <c r="J97"/>
    </row>
    <row r="98" spans="1:10" x14ac:dyDescent="0.3">
      <c r="A98">
        <v>2019</v>
      </c>
      <c r="B98">
        <v>5</v>
      </c>
      <c r="C98">
        <v>31</v>
      </c>
      <c r="D98">
        <v>2019.414</v>
      </c>
      <c r="E98">
        <v>15.7835256187815</v>
      </c>
      <c r="F98">
        <v>3.07649156748306</v>
      </c>
      <c r="G98">
        <v>0</v>
      </c>
      <c r="H98">
        <v>0</v>
      </c>
      <c r="I98" s="72">
        <f t="shared" si="4"/>
        <v>18.86001718626456</v>
      </c>
      <c r="J98"/>
    </row>
    <row r="99" spans="1:10" x14ac:dyDescent="0.3">
      <c r="A99">
        <v>2019</v>
      </c>
      <c r="B99">
        <v>6</v>
      </c>
      <c r="C99">
        <v>30</v>
      </c>
      <c r="D99">
        <v>2019.4960000000001</v>
      </c>
      <c r="E99">
        <v>16.0591783160821</v>
      </c>
      <c r="F99">
        <v>3.14561234142931</v>
      </c>
      <c r="G99">
        <v>0</v>
      </c>
      <c r="H99">
        <v>0</v>
      </c>
      <c r="I99" s="106">
        <f t="shared" si="4"/>
        <v>19.20479065751141</v>
      </c>
      <c r="J99">
        <v>19.0732455465144</v>
      </c>
    </row>
    <row r="100" spans="1:10" x14ac:dyDescent="0.3">
      <c r="A100">
        <v>2019</v>
      </c>
      <c r="B100">
        <v>7</v>
      </c>
      <c r="C100">
        <v>31</v>
      </c>
      <c r="D100">
        <v>2019.5809999999999</v>
      </c>
      <c r="E100">
        <v>16.3413656274647</v>
      </c>
      <c r="F100">
        <v>3.2174725454707902</v>
      </c>
      <c r="G100">
        <v>0</v>
      </c>
      <c r="H100">
        <v>0</v>
      </c>
      <c r="I100" s="72">
        <f t="shared" si="4"/>
        <v>19.558838172935491</v>
      </c>
      <c r="J100"/>
    </row>
    <row r="101" spans="1:10" x14ac:dyDescent="0.3">
      <c r="A101">
        <v>2019</v>
      </c>
      <c r="B101">
        <v>8</v>
      </c>
      <c r="C101">
        <v>31</v>
      </c>
      <c r="D101">
        <v>2019.6659999999999</v>
      </c>
      <c r="E101">
        <v>16.620672610080899</v>
      </c>
      <c r="F101">
        <v>3.2960695111682901</v>
      </c>
      <c r="G101">
        <v>0</v>
      </c>
      <c r="H101">
        <v>0</v>
      </c>
      <c r="I101" s="72">
        <f t="shared" si="4"/>
        <v>19.91674212124919</v>
      </c>
      <c r="J101"/>
    </row>
    <row r="102" spans="1:10" x14ac:dyDescent="0.3">
      <c r="A102">
        <v>2019</v>
      </c>
      <c r="B102">
        <v>9</v>
      </c>
      <c r="C102">
        <v>30</v>
      </c>
      <c r="D102">
        <v>2019.748</v>
      </c>
      <c r="E102">
        <v>16.888596080345302</v>
      </c>
      <c r="F102">
        <v>3.3650324589406901</v>
      </c>
      <c r="G102">
        <v>0</v>
      </c>
      <c r="H102">
        <v>0</v>
      </c>
      <c r="I102" s="72">
        <f t="shared" si="4"/>
        <v>20.253628539285991</v>
      </c>
      <c r="J102"/>
    </row>
    <row r="103" spans="1:10" x14ac:dyDescent="0.3">
      <c r="A103">
        <v>2019</v>
      </c>
      <c r="B103">
        <v>10</v>
      </c>
      <c r="C103">
        <v>31</v>
      </c>
      <c r="D103">
        <v>2019.8330000000001</v>
      </c>
      <c r="E103">
        <v>17.162991417933601</v>
      </c>
      <c r="F103">
        <v>3.4137318828501</v>
      </c>
      <c r="G103">
        <v>0</v>
      </c>
      <c r="H103">
        <v>0</v>
      </c>
      <c r="I103" s="72">
        <f t="shared" si="4"/>
        <v>20.576723300783701</v>
      </c>
      <c r="J103"/>
    </row>
    <row r="104" spans="1:10" x14ac:dyDescent="0.3">
      <c r="A104">
        <v>2019</v>
      </c>
      <c r="B104">
        <v>11</v>
      </c>
      <c r="C104">
        <v>30</v>
      </c>
      <c r="D104">
        <v>2019.915</v>
      </c>
      <c r="E104">
        <v>17.426152354534199</v>
      </c>
      <c r="F104">
        <v>3.45592241211394</v>
      </c>
      <c r="G104">
        <v>0</v>
      </c>
      <c r="H104">
        <v>0</v>
      </c>
      <c r="I104" s="72">
        <f t="shared" si="4"/>
        <v>20.882074766648138</v>
      </c>
      <c r="J104"/>
    </row>
    <row r="105" spans="1:10" x14ac:dyDescent="0.3">
      <c r="A105">
        <v>2019</v>
      </c>
      <c r="B105">
        <v>12</v>
      </c>
      <c r="C105">
        <v>31</v>
      </c>
      <c r="D105">
        <v>2020</v>
      </c>
      <c r="E105">
        <v>17.695621938891101</v>
      </c>
      <c r="F105">
        <v>3.4979036650894302</v>
      </c>
      <c r="G105">
        <v>0</v>
      </c>
      <c r="H105">
        <v>0</v>
      </c>
      <c r="I105" s="72">
        <f t="shared" si="4"/>
        <v>21.193525603980532</v>
      </c>
      <c r="J105"/>
    </row>
    <row r="106" spans="1:10" x14ac:dyDescent="0.3">
      <c r="A106">
        <v>2020</v>
      </c>
      <c r="B106">
        <v>1</v>
      </c>
      <c r="C106">
        <v>31</v>
      </c>
      <c r="D106">
        <v>2020.085</v>
      </c>
      <c r="E106">
        <v>17.9619274434374</v>
      </c>
      <c r="F106">
        <v>3.5396585795253199</v>
      </c>
      <c r="G106">
        <v>0</v>
      </c>
      <c r="H106">
        <v>0</v>
      </c>
      <c r="I106" s="72">
        <f t="shared" si="4"/>
        <v>21.501586022962719</v>
      </c>
      <c r="J106"/>
    </row>
    <row r="107" spans="1:10" x14ac:dyDescent="0.3">
      <c r="A107">
        <v>2020</v>
      </c>
      <c r="B107">
        <v>2</v>
      </c>
      <c r="C107">
        <v>29</v>
      </c>
      <c r="D107">
        <v>2020.164</v>
      </c>
      <c r="E107">
        <v>18.186580839266298</v>
      </c>
      <c r="F107">
        <v>3.57965640588281</v>
      </c>
      <c r="G107">
        <v>0</v>
      </c>
      <c r="H107">
        <v>0</v>
      </c>
      <c r="I107" s="72">
        <f t="shared" si="4"/>
        <v>21.766237245149107</v>
      </c>
      <c r="J107"/>
    </row>
    <row r="108" spans="1:10" x14ac:dyDescent="0.3">
      <c r="A108">
        <v>2020</v>
      </c>
      <c r="B108">
        <v>3</v>
      </c>
      <c r="C108">
        <v>31</v>
      </c>
      <c r="D108">
        <v>2020.249</v>
      </c>
      <c r="E108">
        <v>18.424736370287299</v>
      </c>
      <c r="F108">
        <v>3.6282526894462199</v>
      </c>
      <c r="G108">
        <v>0</v>
      </c>
      <c r="H108">
        <v>0</v>
      </c>
      <c r="I108" s="72">
        <f t="shared" si="4"/>
        <v>22.05298905973352</v>
      </c>
      <c r="J108"/>
    </row>
    <row r="109" spans="1:10" x14ac:dyDescent="0.3">
      <c r="A109">
        <v>2020</v>
      </c>
      <c r="B109">
        <v>4</v>
      </c>
      <c r="C109">
        <v>30</v>
      </c>
      <c r="D109">
        <v>2020.3309999999999</v>
      </c>
      <c r="E109">
        <v>18.653255219179002</v>
      </c>
      <c r="F109">
        <v>3.68196914038464</v>
      </c>
      <c r="G109">
        <v>0</v>
      </c>
      <c r="H109">
        <v>0</v>
      </c>
      <c r="I109" s="72">
        <f t="shared" si="4"/>
        <v>22.335224359563643</v>
      </c>
      <c r="J109"/>
    </row>
    <row r="110" spans="1:10" x14ac:dyDescent="0.3">
      <c r="A110">
        <v>2020</v>
      </c>
      <c r="B110">
        <v>5</v>
      </c>
      <c r="C110">
        <v>31</v>
      </c>
      <c r="D110">
        <v>2020.415</v>
      </c>
      <c r="E110">
        <v>18.878917501835598</v>
      </c>
      <c r="F110">
        <v>3.73836925546044</v>
      </c>
      <c r="G110">
        <v>0</v>
      </c>
      <c r="H110">
        <v>0</v>
      </c>
      <c r="I110" s="72">
        <f t="shared" si="4"/>
        <v>22.617286757296039</v>
      </c>
      <c r="J110"/>
    </row>
    <row r="111" spans="1:10" x14ac:dyDescent="0.3">
      <c r="A111">
        <v>2020</v>
      </c>
      <c r="B111">
        <v>6</v>
      </c>
      <c r="C111">
        <v>30</v>
      </c>
      <c r="D111">
        <v>2020.4970000000001</v>
      </c>
      <c r="E111">
        <v>18.9933786004636</v>
      </c>
      <c r="F111">
        <v>3.8037003156058802</v>
      </c>
      <c r="G111">
        <v>0</v>
      </c>
      <c r="H111">
        <v>0</v>
      </c>
      <c r="I111" s="72">
        <f t="shared" si="4"/>
        <v>22.797078916069481</v>
      </c>
      <c r="J111"/>
    </row>
    <row r="112" spans="1:10" x14ac:dyDescent="0.3">
      <c r="A112">
        <v>2020</v>
      </c>
      <c r="B112">
        <v>7</v>
      </c>
      <c r="C112">
        <v>31</v>
      </c>
      <c r="D112">
        <v>2020.5820000000001</v>
      </c>
      <c r="E112">
        <v>19.224354932168701</v>
      </c>
      <c r="F112">
        <v>3.8780878037931501</v>
      </c>
      <c r="G112">
        <v>0</v>
      </c>
      <c r="H112">
        <v>0</v>
      </c>
      <c r="I112" s="72">
        <f t="shared" si="4"/>
        <v>23.102442735961851</v>
      </c>
      <c r="J112"/>
    </row>
    <row r="113" spans="1:10" x14ac:dyDescent="0.3">
      <c r="A113">
        <v>2020</v>
      </c>
      <c r="B113">
        <v>8</v>
      </c>
      <c r="C113">
        <v>31</v>
      </c>
      <c r="D113">
        <v>2020.6669999999999</v>
      </c>
      <c r="E113">
        <v>19.453113773939901</v>
      </c>
      <c r="F113">
        <v>3.95692889418565</v>
      </c>
      <c r="G113">
        <v>0</v>
      </c>
      <c r="H113">
        <v>0</v>
      </c>
      <c r="I113" s="72">
        <f t="shared" si="4"/>
        <v>23.410042668125552</v>
      </c>
      <c r="J113"/>
    </row>
    <row r="114" spans="1:10" x14ac:dyDescent="0.3">
      <c r="A114">
        <v>2020</v>
      </c>
      <c r="B114">
        <v>9</v>
      </c>
      <c r="C114">
        <v>30</v>
      </c>
      <c r="D114">
        <v>2020.749</v>
      </c>
      <c r="E114">
        <v>19.6725764291544</v>
      </c>
      <c r="F114">
        <v>4.0242755694659902</v>
      </c>
      <c r="G114">
        <v>0</v>
      </c>
      <c r="H114">
        <v>0</v>
      </c>
      <c r="I114" s="72">
        <f t="shared" si="4"/>
        <v>23.696851998620389</v>
      </c>
      <c r="J114"/>
    </row>
    <row r="115" spans="1:10" x14ac:dyDescent="0.3">
      <c r="A115">
        <v>2020</v>
      </c>
      <c r="B115">
        <v>10</v>
      </c>
      <c r="C115">
        <v>31</v>
      </c>
      <c r="D115">
        <v>2020.8330000000001</v>
      </c>
      <c r="E115">
        <v>19.897383994132401</v>
      </c>
      <c r="F115">
        <v>4.0674454065298198</v>
      </c>
      <c r="G115">
        <v>0</v>
      </c>
      <c r="H115">
        <v>0</v>
      </c>
      <c r="I115" s="72">
        <f t="shared" si="4"/>
        <v>23.964829400662222</v>
      </c>
      <c r="J115"/>
    </row>
    <row r="116" spans="1:10" x14ac:dyDescent="0.3">
      <c r="A116">
        <v>2020</v>
      </c>
      <c r="B116">
        <v>11</v>
      </c>
      <c r="C116">
        <v>30</v>
      </c>
      <c r="D116">
        <v>2020.915</v>
      </c>
      <c r="E116">
        <v>20.113043244867999</v>
      </c>
      <c r="F116">
        <v>4.1032806083253597</v>
      </c>
      <c r="G116">
        <v>0</v>
      </c>
      <c r="H116">
        <v>0</v>
      </c>
      <c r="I116" s="72">
        <f t="shared" si="4"/>
        <v>24.216323853193359</v>
      </c>
      <c r="J116"/>
    </row>
    <row r="117" spans="1:10" x14ac:dyDescent="0.3">
      <c r="A117">
        <v>2020</v>
      </c>
      <c r="B117">
        <v>12</v>
      </c>
      <c r="C117">
        <v>31</v>
      </c>
      <c r="D117">
        <v>2021</v>
      </c>
      <c r="E117">
        <v>20.3339430688013</v>
      </c>
      <c r="F117">
        <v>4.1384045172013098</v>
      </c>
      <c r="G117">
        <v>0</v>
      </c>
      <c r="H117">
        <v>0</v>
      </c>
      <c r="I117" s="72">
        <f t="shared" si="4"/>
        <v>24.472347586002609</v>
      </c>
      <c r="J117"/>
    </row>
    <row r="118" spans="1:10" x14ac:dyDescent="0.3">
      <c r="A118">
        <v>2021</v>
      </c>
      <c r="B118">
        <v>1</v>
      </c>
      <c r="C118">
        <v>31</v>
      </c>
      <c r="D118">
        <v>2021.085</v>
      </c>
      <c r="E118">
        <v>20.5527040547464</v>
      </c>
      <c r="F118">
        <v>4.1732793924531002</v>
      </c>
      <c r="G118">
        <v>0</v>
      </c>
      <c r="H118">
        <v>0</v>
      </c>
      <c r="I118" s="72">
        <f t="shared" si="4"/>
        <v>24.7259834471995</v>
      </c>
      <c r="J118"/>
    </row>
    <row r="119" spans="1:10" x14ac:dyDescent="0.3">
      <c r="A119">
        <v>2021</v>
      </c>
      <c r="B119">
        <v>2</v>
      </c>
      <c r="C119">
        <v>28</v>
      </c>
      <c r="D119">
        <v>2021.162</v>
      </c>
      <c r="E119">
        <v>20.748488760308501</v>
      </c>
      <c r="F119">
        <v>4.2058473447181797</v>
      </c>
      <c r="G119">
        <v>0</v>
      </c>
      <c r="H119">
        <v>0</v>
      </c>
      <c r="I119" s="72">
        <f t="shared" si="4"/>
        <v>24.95433610502668</v>
      </c>
      <c r="J119"/>
    </row>
    <row r="120" spans="1:10" x14ac:dyDescent="0.3">
      <c r="A120">
        <v>2021</v>
      </c>
      <c r="B120">
        <v>3</v>
      </c>
      <c r="C120">
        <v>31</v>
      </c>
      <c r="D120">
        <v>2021.2470000000001</v>
      </c>
      <c r="E120">
        <v>20.963405178310602</v>
      </c>
      <c r="F120">
        <v>4.2487993368172896</v>
      </c>
      <c r="G120">
        <v>0</v>
      </c>
      <c r="H120">
        <v>0</v>
      </c>
      <c r="I120" s="72">
        <f t="shared" si="4"/>
        <v>25.21220451512789</v>
      </c>
      <c r="J120"/>
    </row>
    <row r="121" spans="1:10" x14ac:dyDescent="0.3">
      <c r="A121">
        <v>2021</v>
      </c>
      <c r="B121">
        <v>4</v>
      </c>
      <c r="C121">
        <v>30</v>
      </c>
      <c r="D121">
        <v>2021.329</v>
      </c>
      <c r="E121">
        <v>21.169555333936401</v>
      </c>
      <c r="F121">
        <v>4.2983028810680803</v>
      </c>
      <c r="G121">
        <v>0</v>
      </c>
      <c r="H121">
        <v>0</v>
      </c>
      <c r="I121" s="72">
        <f t="shared" si="4"/>
        <v>25.467858215004483</v>
      </c>
      <c r="J121"/>
    </row>
    <row r="122" spans="1:10" x14ac:dyDescent="0.3">
      <c r="A122">
        <v>2021</v>
      </c>
      <c r="B122">
        <v>5</v>
      </c>
      <c r="C122">
        <v>31</v>
      </c>
      <c r="D122">
        <v>2021.414</v>
      </c>
      <c r="E122">
        <v>21.3806965866487</v>
      </c>
      <c r="F122">
        <v>4.3503973669206104</v>
      </c>
      <c r="G122">
        <v>0</v>
      </c>
      <c r="H122">
        <v>0</v>
      </c>
      <c r="I122" s="72">
        <f t="shared" si="4"/>
        <v>25.73109395356931</v>
      </c>
      <c r="J122"/>
    </row>
    <row r="123" spans="1:10" x14ac:dyDescent="0.3">
      <c r="A123">
        <v>2021</v>
      </c>
      <c r="B123">
        <v>6</v>
      </c>
      <c r="C123">
        <v>30</v>
      </c>
      <c r="D123">
        <v>2021.4960000000001</v>
      </c>
      <c r="E123">
        <v>21.5823804959517</v>
      </c>
      <c r="F123">
        <v>4.4167174019263697</v>
      </c>
      <c r="G123">
        <v>0</v>
      </c>
      <c r="H123">
        <v>0</v>
      </c>
      <c r="I123" s="106">
        <f t="shared" si="4"/>
        <v>25.99909789787807</v>
      </c>
      <c r="J123"/>
    </row>
    <row r="124" spans="1:10" x14ac:dyDescent="0.3">
      <c r="A124">
        <v>2021</v>
      </c>
      <c r="B124">
        <v>7</v>
      </c>
      <c r="C124">
        <v>31</v>
      </c>
      <c r="D124">
        <v>2021.5809999999999</v>
      </c>
      <c r="E124">
        <v>21.541972158494399</v>
      </c>
      <c r="F124">
        <v>1.6969859613398199</v>
      </c>
      <c r="G124">
        <v>2.1069867726668998E-2</v>
      </c>
      <c r="H124">
        <v>3.8949991589200001E-4</v>
      </c>
      <c r="I124" s="72">
        <f t="shared" si="4"/>
        <v>23.238958119834219</v>
      </c>
      <c r="J124"/>
    </row>
    <row r="125" spans="1:10" x14ac:dyDescent="0.3">
      <c r="A125">
        <v>2021</v>
      </c>
      <c r="B125">
        <v>8</v>
      </c>
      <c r="C125">
        <v>31</v>
      </c>
      <c r="D125">
        <v>2021.6659999999999</v>
      </c>
      <c r="E125">
        <v>21.7488738040017</v>
      </c>
      <c r="F125">
        <v>1.8091291181139699</v>
      </c>
      <c r="G125">
        <v>0</v>
      </c>
      <c r="H125">
        <v>0</v>
      </c>
      <c r="I125" s="72">
        <f t="shared" si="4"/>
        <v>23.558002922115669</v>
      </c>
      <c r="J125"/>
    </row>
    <row r="126" spans="1:10" x14ac:dyDescent="0.3">
      <c r="A126">
        <v>2021</v>
      </c>
      <c r="B126">
        <v>9</v>
      </c>
      <c r="C126">
        <v>30</v>
      </c>
      <c r="D126">
        <v>2021.748</v>
      </c>
      <c r="E126">
        <v>21.9473335747291</v>
      </c>
      <c r="F126">
        <v>1.9131420656493501</v>
      </c>
      <c r="G126">
        <v>0</v>
      </c>
      <c r="H126">
        <v>0</v>
      </c>
      <c r="I126" s="72">
        <f t="shared" si="4"/>
        <v>23.86047564037845</v>
      </c>
      <c r="J126"/>
    </row>
    <row r="127" spans="1:10" x14ac:dyDescent="0.3">
      <c r="A127">
        <v>2021</v>
      </c>
      <c r="B127">
        <v>10</v>
      </c>
      <c r="C127">
        <v>31</v>
      </c>
      <c r="D127">
        <v>2021.8330000000001</v>
      </c>
      <c r="E127">
        <v>22.150597457860499</v>
      </c>
      <c r="F127">
        <v>2.0064463829841399</v>
      </c>
      <c r="G127">
        <v>0</v>
      </c>
      <c r="H127">
        <v>0</v>
      </c>
      <c r="I127" s="72">
        <f t="shared" si="4"/>
        <v>24.15704384084464</v>
      </c>
      <c r="J127"/>
    </row>
    <row r="128" spans="1:10" x14ac:dyDescent="0.3">
      <c r="A128">
        <v>2021</v>
      </c>
      <c r="B128">
        <v>11</v>
      </c>
      <c r="C128">
        <v>30</v>
      </c>
      <c r="D128">
        <v>2021.915</v>
      </c>
      <c r="E128">
        <v>22.345566532067199</v>
      </c>
      <c r="F128">
        <v>2.09237854368391</v>
      </c>
      <c r="G128">
        <v>0</v>
      </c>
      <c r="H128">
        <v>0</v>
      </c>
      <c r="I128" s="72">
        <f t="shared" si="4"/>
        <v>24.437945075751109</v>
      </c>
      <c r="J128"/>
    </row>
    <row r="129" spans="1:10" x14ac:dyDescent="0.3">
      <c r="A129">
        <v>2021</v>
      </c>
      <c r="B129">
        <v>12</v>
      </c>
      <c r="C129">
        <v>31</v>
      </c>
      <c r="D129">
        <v>2022</v>
      </c>
      <c r="E129">
        <v>22.545254457087001</v>
      </c>
      <c r="F129">
        <v>2.1788460822775302</v>
      </c>
      <c r="G129">
        <v>0</v>
      </c>
      <c r="H129">
        <v>0</v>
      </c>
      <c r="I129" s="72">
        <f t="shared" si="4"/>
        <v>24.724100539364532</v>
      </c>
      <c r="J129"/>
    </row>
    <row r="130" spans="1:10" x14ac:dyDescent="0.3">
      <c r="A130">
        <v>2022</v>
      </c>
      <c r="B130">
        <v>1</v>
      </c>
      <c r="C130">
        <v>31</v>
      </c>
      <c r="D130">
        <v>2022.085</v>
      </c>
      <c r="E130">
        <v>22.743142078981801</v>
      </c>
      <c r="F130">
        <v>2.26388817900372</v>
      </c>
      <c r="G130">
        <v>0</v>
      </c>
      <c r="H130">
        <v>0</v>
      </c>
      <c r="I130" s="72">
        <f t="shared" si="4"/>
        <v>25.007030257985519</v>
      </c>
      <c r="J130"/>
    </row>
    <row r="131" spans="1:10" x14ac:dyDescent="0.3">
      <c r="A131">
        <v>2022</v>
      </c>
      <c r="B131">
        <v>2</v>
      </c>
      <c r="C131">
        <v>28</v>
      </c>
      <c r="D131">
        <v>2022.162</v>
      </c>
      <c r="E131">
        <v>22.920159105715999</v>
      </c>
      <c r="F131">
        <v>2.3403191590686299</v>
      </c>
      <c r="G131">
        <v>0</v>
      </c>
      <c r="H131">
        <v>0</v>
      </c>
      <c r="I131" s="72">
        <f t="shared" si="4"/>
        <v>25.260478264784631</v>
      </c>
      <c r="J131"/>
    </row>
    <row r="132" spans="1:10" x14ac:dyDescent="0.3">
      <c r="A132">
        <v>2022</v>
      </c>
      <c r="B132">
        <v>3</v>
      </c>
      <c r="C132">
        <v>31</v>
      </c>
      <c r="D132">
        <v>2022.2470000000001</v>
      </c>
      <c r="E132">
        <v>23.114468118785101</v>
      </c>
      <c r="F132">
        <v>2.4279595040950399</v>
      </c>
      <c r="G132">
        <v>0</v>
      </c>
      <c r="H132">
        <v>0</v>
      </c>
      <c r="I132" s="72">
        <f t="shared" si="4"/>
        <v>25.54242762288014</v>
      </c>
      <c r="J132"/>
    </row>
    <row r="133" spans="1:10" x14ac:dyDescent="0.3">
      <c r="A133">
        <v>2022</v>
      </c>
      <c r="B133">
        <v>4</v>
      </c>
      <c r="C133">
        <v>30</v>
      </c>
      <c r="D133">
        <v>2022.329</v>
      </c>
      <c r="E133">
        <v>23.300849205136</v>
      </c>
      <c r="F133">
        <v>2.5163854938140702</v>
      </c>
      <c r="G133">
        <v>0</v>
      </c>
      <c r="H133">
        <v>0</v>
      </c>
      <c r="I133" s="72">
        <f t="shared" si="4"/>
        <v>25.81723469895007</v>
      </c>
      <c r="J133"/>
    </row>
    <row r="134" spans="1:10" x14ac:dyDescent="0.3">
      <c r="A134">
        <v>2022</v>
      </c>
      <c r="B134">
        <v>5</v>
      </c>
      <c r="C134">
        <v>31</v>
      </c>
      <c r="D134">
        <v>2022.414</v>
      </c>
      <c r="E134">
        <v>23.491744014430701</v>
      </c>
      <c r="F134">
        <v>2.6076883163248201</v>
      </c>
      <c r="G134">
        <v>0</v>
      </c>
      <c r="H134">
        <v>0</v>
      </c>
      <c r="I134" s="72">
        <f t="shared" si="4"/>
        <v>26.099432330755519</v>
      </c>
      <c r="J134"/>
    </row>
    <row r="135" spans="1:10" x14ac:dyDescent="0.3">
      <c r="A135">
        <v>2022</v>
      </c>
      <c r="B135">
        <v>6</v>
      </c>
      <c r="C135">
        <v>30</v>
      </c>
      <c r="D135">
        <v>2022.4960000000001</v>
      </c>
      <c r="E135">
        <v>23.674852349443899</v>
      </c>
      <c r="F135">
        <v>2.7049901647561798</v>
      </c>
      <c r="G135">
        <v>0</v>
      </c>
      <c r="H135">
        <v>0</v>
      </c>
      <c r="I135" s="106">
        <f t="shared" si="4"/>
        <v>26.379842514200078</v>
      </c>
      <c r="J135"/>
    </row>
    <row r="136" spans="1:10" x14ac:dyDescent="0.3">
      <c r="A136">
        <v>2022</v>
      </c>
      <c r="B136">
        <v>7</v>
      </c>
      <c r="C136">
        <v>31</v>
      </c>
      <c r="D136">
        <v>2022.5809999999999</v>
      </c>
      <c r="E136">
        <v>23.858618860747601</v>
      </c>
      <c r="F136">
        <v>2.8062180031231101</v>
      </c>
      <c r="G136">
        <v>0</v>
      </c>
      <c r="H136">
        <v>0</v>
      </c>
      <c r="I136" s="72">
        <f t="shared" si="4"/>
        <v>26.664836863870711</v>
      </c>
      <c r="J136"/>
    </row>
    <row r="137" spans="1:10" x14ac:dyDescent="0.3">
      <c r="A137">
        <v>2022</v>
      </c>
      <c r="B137">
        <v>8</v>
      </c>
      <c r="C137">
        <v>31</v>
      </c>
      <c r="D137">
        <v>2022.6659999999999</v>
      </c>
      <c r="E137">
        <v>23.9513344109216</v>
      </c>
      <c r="F137">
        <v>2.91157386038629</v>
      </c>
      <c r="G137">
        <v>0</v>
      </c>
      <c r="H137">
        <v>0</v>
      </c>
      <c r="I137" s="72">
        <f t="shared" si="4"/>
        <v>26.862908271307891</v>
      </c>
      <c r="J137"/>
    </row>
    <row r="138" spans="1:10" x14ac:dyDescent="0.3">
      <c r="A138">
        <v>2022</v>
      </c>
      <c r="B138">
        <v>9</v>
      </c>
      <c r="C138">
        <v>30</v>
      </c>
      <c r="D138">
        <v>2022.748</v>
      </c>
      <c r="E138">
        <v>24.040656325565202</v>
      </c>
      <c r="F138">
        <v>3.0051685792335698</v>
      </c>
      <c r="G138">
        <v>0</v>
      </c>
      <c r="H138">
        <v>0</v>
      </c>
      <c r="I138" s="72">
        <f t="shared" si="4"/>
        <v>27.045824904798771</v>
      </c>
      <c r="J138"/>
    </row>
    <row r="139" spans="1:10" x14ac:dyDescent="0.3">
      <c r="A139">
        <v>2022</v>
      </c>
      <c r="B139">
        <v>10</v>
      </c>
      <c r="C139">
        <v>31</v>
      </c>
      <c r="D139">
        <v>2022.8330000000001</v>
      </c>
      <c r="E139">
        <v>24.132547506601298</v>
      </c>
      <c r="F139">
        <v>3.0804050606828999</v>
      </c>
      <c r="G139">
        <v>0</v>
      </c>
      <c r="H139">
        <v>0</v>
      </c>
      <c r="I139" s="72">
        <f t="shared" ref="I139:I202" si="5">E139+F139</f>
        <v>27.212952567284198</v>
      </c>
      <c r="J139"/>
    </row>
    <row r="140" spans="1:10" x14ac:dyDescent="0.3">
      <c r="A140">
        <v>2022</v>
      </c>
      <c r="B140">
        <v>11</v>
      </c>
      <c r="C140">
        <v>30</v>
      </c>
      <c r="D140">
        <v>2022.915</v>
      </c>
      <c r="E140">
        <v>24.2225537458005</v>
      </c>
      <c r="F140">
        <v>3.1453159547406799</v>
      </c>
      <c r="G140">
        <v>0</v>
      </c>
      <c r="H140">
        <v>0</v>
      </c>
      <c r="I140" s="72">
        <f t="shared" si="5"/>
        <v>27.367869700541181</v>
      </c>
      <c r="J140"/>
    </row>
    <row r="141" spans="1:10" x14ac:dyDescent="0.3">
      <c r="A141">
        <v>2022</v>
      </c>
      <c r="B141">
        <v>12</v>
      </c>
      <c r="C141">
        <v>31</v>
      </c>
      <c r="D141">
        <v>2023</v>
      </c>
      <c r="E141">
        <v>24.404293933540199</v>
      </c>
      <c r="F141">
        <v>3.2140433074887</v>
      </c>
      <c r="G141">
        <v>0</v>
      </c>
      <c r="H141">
        <v>0</v>
      </c>
      <c r="I141" s="72">
        <f t="shared" si="5"/>
        <v>27.6183372410289</v>
      </c>
      <c r="J141"/>
    </row>
    <row r="142" spans="1:10" x14ac:dyDescent="0.3">
      <c r="A142">
        <v>2023</v>
      </c>
      <c r="B142">
        <v>1</v>
      </c>
      <c r="C142">
        <v>31</v>
      </c>
      <c r="D142">
        <v>2023.085</v>
      </c>
      <c r="E142">
        <v>24.584408125500001</v>
      </c>
      <c r="F142">
        <v>3.2796429879248299</v>
      </c>
      <c r="G142">
        <v>0</v>
      </c>
      <c r="H142">
        <v>0</v>
      </c>
      <c r="I142" s="72">
        <f t="shared" si="5"/>
        <v>27.864051113424832</v>
      </c>
      <c r="J142"/>
    </row>
    <row r="143" spans="1:10" x14ac:dyDescent="0.3">
      <c r="A143">
        <v>2023</v>
      </c>
      <c r="B143">
        <v>2</v>
      </c>
      <c r="C143">
        <v>28</v>
      </c>
      <c r="D143">
        <v>2023.162</v>
      </c>
      <c r="E143">
        <v>24.7457082346391</v>
      </c>
      <c r="F143">
        <v>3.3390832461077</v>
      </c>
      <c r="G143">
        <v>0</v>
      </c>
      <c r="H143">
        <v>0</v>
      </c>
      <c r="I143" s="72">
        <f t="shared" si="5"/>
        <v>28.084791480746802</v>
      </c>
      <c r="J143"/>
    </row>
    <row r="144" spans="1:10" x14ac:dyDescent="0.3">
      <c r="A144">
        <v>2023</v>
      </c>
      <c r="B144">
        <v>3</v>
      </c>
      <c r="C144">
        <v>31</v>
      </c>
      <c r="D144">
        <v>2023.2470000000001</v>
      </c>
      <c r="E144">
        <v>24.9227739187243</v>
      </c>
      <c r="F144">
        <v>3.4098204854047198</v>
      </c>
      <c r="G144">
        <v>0</v>
      </c>
      <c r="H144">
        <v>0</v>
      </c>
      <c r="I144" s="72">
        <f t="shared" si="5"/>
        <v>28.332594404129019</v>
      </c>
      <c r="J144"/>
    </row>
    <row r="145" spans="1:10" x14ac:dyDescent="0.3">
      <c r="A145">
        <v>2023</v>
      </c>
      <c r="B145">
        <v>4</v>
      </c>
      <c r="C145">
        <v>30</v>
      </c>
      <c r="D145">
        <v>2023.329</v>
      </c>
      <c r="E145">
        <v>25.092475829107901</v>
      </c>
      <c r="F145">
        <v>3.4840478259481298</v>
      </c>
      <c r="G145">
        <v>0</v>
      </c>
      <c r="H145">
        <v>0</v>
      </c>
      <c r="I145" s="72">
        <f t="shared" si="5"/>
        <v>28.576523655056029</v>
      </c>
      <c r="J145"/>
    </row>
    <row r="146" spans="1:10" x14ac:dyDescent="0.3">
      <c r="A146">
        <v>2023</v>
      </c>
      <c r="B146">
        <v>5</v>
      </c>
      <c r="C146">
        <v>31</v>
      </c>
      <c r="D146">
        <v>2023.414</v>
      </c>
      <c r="E146">
        <v>25.266294271842501</v>
      </c>
      <c r="F146">
        <v>3.5609818150339798</v>
      </c>
      <c r="G146">
        <v>0</v>
      </c>
      <c r="H146">
        <v>0</v>
      </c>
      <c r="I146" s="72">
        <f t="shared" si="5"/>
        <v>28.827276086876481</v>
      </c>
      <c r="J146"/>
    </row>
    <row r="147" spans="1:10" x14ac:dyDescent="0.3">
      <c r="A147">
        <v>2023</v>
      </c>
      <c r="B147">
        <v>6</v>
      </c>
      <c r="C147">
        <v>30</v>
      </c>
      <c r="D147">
        <v>2023.4960000000001</v>
      </c>
      <c r="E147">
        <v>25.4330356737286</v>
      </c>
      <c r="F147">
        <v>3.6480668587986398</v>
      </c>
      <c r="G147">
        <v>0</v>
      </c>
      <c r="H147">
        <v>0</v>
      </c>
      <c r="I147" s="106">
        <f t="shared" si="5"/>
        <v>29.08110253252724</v>
      </c>
      <c r="J147"/>
    </row>
    <row r="148" spans="1:10" x14ac:dyDescent="0.3">
      <c r="A148">
        <v>2023</v>
      </c>
      <c r="B148">
        <v>7</v>
      </c>
      <c r="C148">
        <v>31</v>
      </c>
      <c r="D148">
        <v>2023.5809999999999</v>
      </c>
      <c r="E148">
        <v>25.603832069905401</v>
      </c>
      <c r="F148">
        <v>3.7392084091905602</v>
      </c>
      <c r="G148">
        <v>0</v>
      </c>
      <c r="H148">
        <v>0</v>
      </c>
      <c r="I148" s="72">
        <f t="shared" si="5"/>
        <v>29.343040479095961</v>
      </c>
      <c r="J148"/>
    </row>
    <row r="149" spans="1:10" x14ac:dyDescent="0.3">
      <c r="A149">
        <v>2023</v>
      </c>
      <c r="B149">
        <v>8</v>
      </c>
      <c r="C149">
        <v>31</v>
      </c>
      <c r="D149">
        <v>2023.6659999999999</v>
      </c>
      <c r="E149">
        <v>25.7731168883689</v>
      </c>
      <c r="F149">
        <v>3.8366749082271099</v>
      </c>
      <c r="G149">
        <v>0</v>
      </c>
      <c r="H149">
        <v>0</v>
      </c>
      <c r="I149" s="72">
        <f t="shared" si="5"/>
        <v>29.60979179659601</v>
      </c>
      <c r="J149"/>
    </row>
    <row r="150" spans="1:10" x14ac:dyDescent="0.3">
      <c r="A150">
        <v>2023</v>
      </c>
      <c r="B150">
        <v>9</v>
      </c>
      <c r="C150">
        <v>30</v>
      </c>
      <c r="D150">
        <v>2023.748</v>
      </c>
      <c r="E150">
        <v>25.935516937002699</v>
      </c>
      <c r="F150">
        <v>3.92147601963842</v>
      </c>
      <c r="G150">
        <v>0</v>
      </c>
      <c r="H150">
        <v>0</v>
      </c>
      <c r="I150" s="72">
        <f t="shared" si="5"/>
        <v>29.856992956641118</v>
      </c>
      <c r="J150"/>
    </row>
    <row r="151" spans="1:10" x14ac:dyDescent="0.3">
      <c r="A151">
        <v>2023</v>
      </c>
      <c r="B151">
        <v>10</v>
      </c>
      <c r="C151">
        <v>31</v>
      </c>
      <c r="D151">
        <v>2023.8330000000001</v>
      </c>
      <c r="E151">
        <v>26.101741478843099</v>
      </c>
      <c r="F151">
        <v>3.9821908899340599</v>
      </c>
      <c r="G151">
        <v>0</v>
      </c>
      <c r="H151">
        <v>0</v>
      </c>
      <c r="I151" s="72">
        <f t="shared" si="5"/>
        <v>30.083932368777159</v>
      </c>
      <c r="J151"/>
    </row>
    <row r="152" spans="1:10" x14ac:dyDescent="0.3">
      <c r="A152">
        <v>2023</v>
      </c>
      <c r="B152">
        <v>11</v>
      </c>
      <c r="C152">
        <v>30</v>
      </c>
      <c r="D152">
        <v>2023.915</v>
      </c>
      <c r="E152">
        <v>26.2605452449971</v>
      </c>
      <c r="F152">
        <v>4.0344489114559696</v>
      </c>
      <c r="G152">
        <v>0</v>
      </c>
      <c r="H152">
        <v>0</v>
      </c>
      <c r="I152" s="72">
        <f t="shared" si="5"/>
        <v>30.294994156453072</v>
      </c>
      <c r="J152"/>
    </row>
    <row r="153" spans="1:10" x14ac:dyDescent="0.3">
      <c r="A153">
        <v>2023</v>
      </c>
      <c r="B153">
        <v>12</v>
      </c>
      <c r="C153">
        <v>31</v>
      </c>
      <c r="D153">
        <v>2024</v>
      </c>
      <c r="E153">
        <v>26.342406647741502</v>
      </c>
      <c r="F153">
        <v>4.0858451499377999</v>
      </c>
      <c r="G153">
        <v>0</v>
      </c>
      <c r="H153">
        <v>0</v>
      </c>
      <c r="I153" s="72">
        <f t="shared" si="5"/>
        <v>30.428251797679302</v>
      </c>
      <c r="J153"/>
    </row>
    <row r="154" spans="1:10" x14ac:dyDescent="0.3">
      <c r="A154">
        <v>2024</v>
      </c>
      <c r="B154">
        <v>1</v>
      </c>
      <c r="C154">
        <v>31</v>
      </c>
      <c r="D154">
        <v>2024.085</v>
      </c>
      <c r="E154">
        <v>26.423908192692799</v>
      </c>
      <c r="F154">
        <v>4.1361778593590603</v>
      </c>
      <c r="G154">
        <v>0</v>
      </c>
      <c r="H154">
        <v>0</v>
      </c>
      <c r="I154" s="72">
        <f t="shared" si="5"/>
        <v>30.560086052051858</v>
      </c>
      <c r="J154"/>
    </row>
    <row r="155" spans="1:10" x14ac:dyDescent="0.3">
      <c r="A155">
        <v>2024</v>
      </c>
      <c r="B155">
        <v>2</v>
      </c>
      <c r="C155">
        <v>29</v>
      </c>
      <c r="D155">
        <v>2024.164</v>
      </c>
      <c r="E155">
        <v>26.499827532018902</v>
      </c>
      <c r="F155">
        <v>4.1838955142757399</v>
      </c>
      <c r="G155">
        <v>0</v>
      </c>
      <c r="H155">
        <v>0</v>
      </c>
      <c r="I155" s="72">
        <f t="shared" si="5"/>
        <v>30.683723046294642</v>
      </c>
      <c r="J155"/>
    </row>
    <row r="156" spans="1:10" x14ac:dyDescent="0.3">
      <c r="A156">
        <v>2024</v>
      </c>
      <c r="B156">
        <v>3</v>
      </c>
      <c r="C156">
        <v>31</v>
      </c>
      <c r="D156">
        <v>2024.249</v>
      </c>
      <c r="E156">
        <v>26.580638151958802</v>
      </c>
      <c r="F156">
        <v>4.2412222998404996</v>
      </c>
      <c r="G156">
        <v>0</v>
      </c>
      <c r="H156">
        <v>0</v>
      </c>
      <c r="I156" s="72">
        <f t="shared" si="5"/>
        <v>30.821860451799303</v>
      </c>
      <c r="J156"/>
    </row>
    <row r="157" spans="1:10" x14ac:dyDescent="0.3">
      <c r="A157">
        <v>2024</v>
      </c>
      <c r="B157">
        <v>4</v>
      </c>
      <c r="C157">
        <v>30</v>
      </c>
      <c r="D157">
        <v>2024.3309999999999</v>
      </c>
      <c r="E157">
        <v>26.6585047951571</v>
      </c>
      <c r="F157">
        <v>4.3036570138320203</v>
      </c>
      <c r="G157">
        <v>0</v>
      </c>
      <c r="H157">
        <v>0</v>
      </c>
      <c r="I157" s="72">
        <f t="shared" si="5"/>
        <v>30.962161808989119</v>
      </c>
      <c r="J157"/>
    </row>
    <row r="158" spans="1:10" x14ac:dyDescent="0.3">
      <c r="A158">
        <v>2024</v>
      </c>
      <c r="B158">
        <v>5</v>
      </c>
      <c r="C158">
        <v>31</v>
      </c>
      <c r="D158">
        <v>2024.415</v>
      </c>
      <c r="E158">
        <v>26.738620461103</v>
      </c>
      <c r="F158">
        <v>4.3691951798857298</v>
      </c>
      <c r="G158">
        <v>0</v>
      </c>
      <c r="H158">
        <v>0</v>
      </c>
      <c r="I158" s="72">
        <f t="shared" si="5"/>
        <v>31.107815640988729</v>
      </c>
      <c r="J158"/>
    </row>
    <row r="159" spans="1:10" x14ac:dyDescent="0.3">
      <c r="A159">
        <v>2024</v>
      </c>
      <c r="B159">
        <v>6</v>
      </c>
      <c r="C159">
        <v>30</v>
      </c>
      <c r="D159">
        <v>2024.4970000000001</v>
      </c>
      <c r="E159">
        <v>26.815818198917999</v>
      </c>
      <c r="F159">
        <v>4.4473777837478501</v>
      </c>
      <c r="G159">
        <v>0</v>
      </c>
      <c r="H159">
        <v>0</v>
      </c>
      <c r="I159" s="106">
        <f t="shared" si="5"/>
        <v>31.263195982665849</v>
      </c>
      <c r="J159"/>
    </row>
    <row r="160" spans="1:10" x14ac:dyDescent="0.3">
      <c r="A160">
        <v>2024</v>
      </c>
      <c r="B160">
        <v>7</v>
      </c>
      <c r="C160">
        <v>31</v>
      </c>
      <c r="D160">
        <v>2024.5820000000001</v>
      </c>
      <c r="E160">
        <v>26.895246398976301</v>
      </c>
      <c r="F160">
        <v>4.5299884725293396</v>
      </c>
      <c r="G160">
        <v>0</v>
      </c>
      <c r="H160">
        <v>0</v>
      </c>
      <c r="I160" s="72">
        <f t="shared" si="5"/>
        <v>31.425234871505641</v>
      </c>
      <c r="J160"/>
    </row>
    <row r="161" spans="1:10" x14ac:dyDescent="0.3">
      <c r="A161">
        <v>2024</v>
      </c>
      <c r="B161">
        <v>8</v>
      </c>
      <c r="C161">
        <v>31</v>
      </c>
      <c r="D161">
        <v>2024.6669999999999</v>
      </c>
      <c r="E161">
        <v>26.974272391928899</v>
      </c>
      <c r="F161">
        <v>4.6196099221512998</v>
      </c>
      <c r="G161">
        <v>0</v>
      </c>
      <c r="H161">
        <v>0</v>
      </c>
      <c r="I161" s="72">
        <f t="shared" si="5"/>
        <v>31.593882314080197</v>
      </c>
      <c r="J161"/>
    </row>
    <row r="162" spans="1:10" x14ac:dyDescent="0.3">
      <c r="A162">
        <v>2024</v>
      </c>
      <c r="B162">
        <v>9</v>
      </c>
      <c r="C162">
        <v>30</v>
      </c>
      <c r="D162">
        <v>2024.749</v>
      </c>
      <c r="E162">
        <v>27.0504175488051</v>
      </c>
      <c r="F162">
        <v>4.6945866610434397</v>
      </c>
      <c r="G162">
        <v>0</v>
      </c>
      <c r="H162">
        <v>0</v>
      </c>
      <c r="I162" s="72">
        <f t="shared" si="5"/>
        <v>31.745004209848538</v>
      </c>
      <c r="J162"/>
    </row>
    <row r="163" spans="1:10" x14ac:dyDescent="0.3">
      <c r="A163">
        <v>2024</v>
      </c>
      <c r="B163">
        <v>10</v>
      </c>
      <c r="C163">
        <v>31</v>
      </c>
      <c r="D163">
        <v>2024.8330000000001</v>
      </c>
      <c r="E163">
        <v>27.128763911577</v>
      </c>
      <c r="F163">
        <v>4.74110160271875</v>
      </c>
      <c r="G163">
        <v>0</v>
      </c>
      <c r="H163">
        <v>0</v>
      </c>
      <c r="I163" s="72">
        <f t="shared" si="5"/>
        <v>31.86986551429575</v>
      </c>
      <c r="J163"/>
    </row>
    <row r="164" spans="1:10" x14ac:dyDescent="0.3">
      <c r="A164">
        <v>2024</v>
      </c>
      <c r="B164">
        <v>11</v>
      </c>
      <c r="C164">
        <v>30</v>
      </c>
      <c r="D164">
        <v>2024.915</v>
      </c>
      <c r="E164">
        <v>27.2042586384926</v>
      </c>
      <c r="F164">
        <v>4.7788298084778598</v>
      </c>
      <c r="G164">
        <v>0</v>
      </c>
      <c r="H164">
        <v>0</v>
      </c>
      <c r="I164" s="72">
        <f t="shared" si="5"/>
        <v>31.983088446970459</v>
      </c>
      <c r="J164"/>
    </row>
    <row r="165" spans="1:10" x14ac:dyDescent="0.3">
      <c r="A165">
        <v>2024</v>
      </c>
      <c r="B165">
        <v>12</v>
      </c>
      <c r="C165">
        <v>31</v>
      </c>
      <c r="D165">
        <v>2025</v>
      </c>
      <c r="E165">
        <v>27.2819365442164</v>
      </c>
      <c r="F165">
        <v>4.8152209733435498</v>
      </c>
      <c r="G165">
        <v>0</v>
      </c>
      <c r="H165">
        <v>0</v>
      </c>
      <c r="I165" s="72">
        <f t="shared" si="5"/>
        <v>32.09715751755995</v>
      </c>
      <c r="J165"/>
    </row>
    <row r="166" spans="1:10" x14ac:dyDescent="0.3">
      <c r="A166">
        <v>2025</v>
      </c>
      <c r="B166">
        <v>1</v>
      </c>
      <c r="C166">
        <v>31</v>
      </c>
      <c r="D166">
        <v>2025.085</v>
      </c>
      <c r="E166">
        <v>27.359277528178701</v>
      </c>
      <c r="F166">
        <v>4.8509578671639799</v>
      </c>
      <c r="G166">
        <v>0</v>
      </c>
      <c r="H166">
        <v>0</v>
      </c>
      <c r="I166" s="72">
        <f t="shared" si="5"/>
        <v>32.210235395342679</v>
      </c>
      <c r="J166"/>
    </row>
    <row r="167" spans="1:10" x14ac:dyDescent="0.3">
      <c r="A167">
        <v>2025</v>
      </c>
      <c r="B167">
        <v>2</v>
      </c>
      <c r="C167">
        <v>28</v>
      </c>
      <c r="D167">
        <v>2025.162</v>
      </c>
      <c r="E167">
        <v>27.428845861652299</v>
      </c>
      <c r="F167">
        <v>4.8843659751195103</v>
      </c>
      <c r="G167">
        <v>0</v>
      </c>
      <c r="H167">
        <v>0</v>
      </c>
      <c r="I167" s="72">
        <f t="shared" si="5"/>
        <v>32.313211836771806</v>
      </c>
      <c r="J167"/>
    </row>
    <row r="168" spans="1:10" x14ac:dyDescent="0.3">
      <c r="A168">
        <v>2025</v>
      </c>
      <c r="B168">
        <v>3</v>
      </c>
      <c r="C168">
        <v>31</v>
      </c>
      <c r="D168">
        <v>2025.2470000000001</v>
      </c>
      <c r="E168">
        <v>27.5055507554248</v>
      </c>
      <c r="F168">
        <v>4.9290454834601798</v>
      </c>
      <c r="G168">
        <v>0</v>
      </c>
      <c r="H168">
        <v>0</v>
      </c>
      <c r="I168" s="72">
        <f t="shared" si="5"/>
        <v>32.434596238884978</v>
      </c>
      <c r="J168"/>
    </row>
    <row r="169" spans="1:10" x14ac:dyDescent="0.3">
      <c r="A169">
        <v>2025</v>
      </c>
      <c r="B169">
        <v>4</v>
      </c>
      <c r="C169">
        <v>30</v>
      </c>
      <c r="D169">
        <v>2025.329</v>
      </c>
      <c r="E169">
        <v>27.579465619550401</v>
      </c>
      <c r="F169">
        <v>4.9807362808359397</v>
      </c>
      <c r="G169">
        <v>0</v>
      </c>
      <c r="H169">
        <v>0</v>
      </c>
      <c r="I169" s="72">
        <f t="shared" si="5"/>
        <v>32.560201900386339</v>
      </c>
      <c r="J169"/>
    </row>
    <row r="170" spans="1:10" x14ac:dyDescent="0.3">
      <c r="A170">
        <v>2025</v>
      </c>
      <c r="B170">
        <v>5</v>
      </c>
      <c r="C170">
        <v>31</v>
      </c>
      <c r="D170">
        <v>2025.414</v>
      </c>
      <c r="E170">
        <v>27.655519903039501</v>
      </c>
      <c r="F170">
        <v>5.0355545648593401</v>
      </c>
      <c r="G170">
        <v>0</v>
      </c>
      <c r="H170">
        <v>0</v>
      </c>
      <c r="I170" s="72">
        <f t="shared" si="5"/>
        <v>32.691074467898844</v>
      </c>
      <c r="J170"/>
    </row>
    <row r="171" spans="1:10" x14ac:dyDescent="0.3">
      <c r="A171">
        <v>2025</v>
      </c>
      <c r="B171">
        <v>6</v>
      </c>
      <c r="C171">
        <v>30</v>
      </c>
      <c r="D171">
        <v>2025.4960000000001</v>
      </c>
      <c r="E171">
        <v>27.7288085845205</v>
      </c>
      <c r="F171">
        <v>5.1058401584155497</v>
      </c>
      <c r="G171">
        <v>0</v>
      </c>
      <c r="H171">
        <v>0</v>
      </c>
      <c r="I171" s="106">
        <f t="shared" si="5"/>
        <v>32.834648742936054</v>
      </c>
      <c r="J171"/>
    </row>
    <row r="172" spans="1:10" x14ac:dyDescent="0.3">
      <c r="A172">
        <v>2025</v>
      </c>
      <c r="B172">
        <v>7</v>
      </c>
      <c r="C172">
        <v>31</v>
      </c>
      <c r="D172">
        <v>2025.5809999999999</v>
      </c>
      <c r="E172">
        <v>27.804219350364001</v>
      </c>
      <c r="F172">
        <v>5.1807279959203996</v>
      </c>
      <c r="G172">
        <v>0</v>
      </c>
      <c r="H172">
        <v>0</v>
      </c>
      <c r="I172" s="72">
        <f t="shared" si="5"/>
        <v>32.9849473462844</v>
      </c>
      <c r="J172"/>
    </row>
    <row r="173" spans="1:10" x14ac:dyDescent="0.3">
      <c r="A173">
        <v>2025</v>
      </c>
      <c r="B173">
        <v>8</v>
      </c>
      <c r="C173">
        <v>31</v>
      </c>
      <c r="D173">
        <v>2025.6659999999999</v>
      </c>
      <c r="E173">
        <v>27.879257423447999</v>
      </c>
      <c r="F173">
        <v>5.26396691603746</v>
      </c>
      <c r="G173">
        <v>0</v>
      </c>
      <c r="H173">
        <v>0</v>
      </c>
      <c r="I173" s="72">
        <f t="shared" si="5"/>
        <v>33.143224339485457</v>
      </c>
      <c r="J173"/>
    </row>
    <row r="174" spans="1:10" x14ac:dyDescent="0.3">
      <c r="A174">
        <v>2025</v>
      </c>
      <c r="B174">
        <v>9</v>
      </c>
      <c r="C174">
        <v>30</v>
      </c>
      <c r="D174">
        <v>2025.748</v>
      </c>
      <c r="E174">
        <v>27.9515647785935</v>
      </c>
      <c r="F174">
        <v>5.3317349300264603</v>
      </c>
      <c r="G174">
        <v>0</v>
      </c>
      <c r="H174">
        <v>0</v>
      </c>
      <c r="I174" s="72">
        <f t="shared" si="5"/>
        <v>33.283299708619964</v>
      </c>
      <c r="J174"/>
    </row>
    <row r="175" spans="1:10" x14ac:dyDescent="0.3">
      <c r="A175">
        <v>2025</v>
      </c>
      <c r="B175">
        <v>10</v>
      </c>
      <c r="C175">
        <v>31</v>
      </c>
      <c r="D175">
        <v>2025.8330000000001</v>
      </c>
      <c r="E175">
        <v>28.0259669951018</v>
      </c>
      <c r="F175">
        <v>5.3671613977774104</v>
      </c>
      <c r="G175">
        <v>0</v>
      </c>
      <c r="H175">
        <v>0</v>
      </c>
      <c r="I175" s="72">
        <f t="shared" si="5"/>
        <v>33.393128392879213</v>
      </c>
      <c r="J175"/>
    </row>
    <row r="176" spans="1:10" x14ac:dyDescent="0.3">
      <c r="A176">
        <v>2025</v>
      </c>
      <c r="B176">
        <v>11</v>
      </c>
      <c r="C176">
        <v>30</v>
      </c>
      <c r="D176">
        <v>2025.915</v>
      </c>
      <c r="E176">
        <v>28.097665593796702</v>
      </c>
      <c r="F176">
        <v>5.3936178259543901</v>
      </c>
      <c r="G176">
        <v>0</v>
      </c>
      <c r="H176">
        <v>0</v>
      </c>
      <c r="I176" s="72">
        <f t="shared" si="5"/>
        <v>33.491283419751092</v>
      </c>
      <c r="J176"/>
    </row>
    <row r="177" spans="1:10" x14ac:dyDescent="0.3">
      <c r="A177">
        <v>2025</v>
      </c>
      <c r="B177">
        <v>12</v>
      </c>
      <c r="C177">
        <v>31</v>
      </c>
      <c r="D177">
        <v>2026</v>
      </c>
      <c r="E177">
        <v>28.171442210670602</v>
      </c>
      <c r="F177">
        <v>5.4184075141139099</v>
      </c>
      <c r="G177">
        <v>0</v>
      </c>
      <c r="H177">
        <v>0</v>
      </c>
      <c r="I177" s="72">
        <f t="shared" si="5"/>
        <v>33.589849724784514</v>
      </c>
      <c r="J177"/>
    </row>
    <row r="178" spans="1:10" x14ac:dyDescent="0.3">
      <c r="A178">
        <v>2026</v>
      </c>
      <c r="B178">
        <v>1</v>
      </c>
      <c r="C178">
        <v>31</v>
      </c>
      <c r="D178">
        <v>2026.085</v>
      </c>
      <c r="E178">
        <v>28.244903527496199</v>
      </c>
      <c r="F178">
        <v>5.4428132178697899</v>
      </c>
      <c r="G178">
        <v>0</v>
      </c>
      <c r="H178">
        <v>0</v>
      </c>
      <c r="I178" s="72">
        <f t="shared" si="5"/>
        <v>33.687716745365989</v>
      </c>
      <c r="J178"/>
    </row>
    <row r="179" spans="1:10" x14ac:dyDescent="0.3">
      <c r="A179">
        <v>2026</v>
      </c>
      <c r="B179">
        <v>2</v>
      </c>
      <c r="C179">
        <v>28</v>
      </c>
      <c r="D179">
        <v>2026.162</v>
      </c>
      <c r="E179">
        <v>28.310986140514402</v>
      </c>
      <c r="F179">
        <v>5.4663735022859203</v>
      </c>
      <c r="G179">
        <v>0</v>
      </c>
      <c r="H179">
        <v>0</v>
      </c>
      <c r="I179" s="72">
        <f t="shared" si="5"/>
        <v>33.77735964280032</v>
      </c>
      <c r="J179"/>
    </row>
    <row r="180" spans="1:10" x14ac:dyDescent="0.3">
      <c r="A180">
        <v>2026</v>
      </c>
      <c r="B180">
        <v>3</v>
      </c>
      <c r="C180">
        <v>31</v>
      </c>
      <c r="D180">
        <v>2026.2470000000001</v>
      </c>
      <c r="E180">
        <v>28.383852221116602</v>
      </c>
      <c r="F180">
        <v>5.5012479817082198</v>
      </c>
      <c r="G180">
        <v>0</v>
      </c>
      <c r="H180">
        <v>0</v>
      </c>
      <c r="I180" s="72">
        <f t="shared" si="5"/>
        <v>33.885100202824823</v>
      </c>
      <c r="J180"/>
    </row>
    <row r="181" spans="1:10" x14ac:dyDescent="0.3">
      <c r="A181">
        <v>2026</v>
      </c>
      <c r="B181">
        <v>4</v>
      </c>
      <c r="C181">
        <v>30</v>
      </c>
      <c r="D181">
        <v>2026.329</v>
      </c>
      <c r="E181">
        <v>28.4540723945954</v>
      </c>
      <c r="F181">
        <v>5.54463825731629</v>
      </c>
      <c r="G181">
        <v>0</v>
      </c>
      <c r="H181">
        <v>0</v>
      </c>
      <c r="I181" s="72">
        <f t="shared" si="5"/>
        <v>33.998710651911694</v>
      </c>
      <c r="J181"/>
    </row>
    <row r="182" spans="1:10" x14ac:dyDescent="0.3">
      <c r="A182">
        <v>2026</v>
      </c>
      <c r="B182">
        <v>5</v>
      </c>
      <c r="C182">
        <v>31</v>
      </c>
      <c r="D182">
        <v>2026.414</v>
      </c>
      <c r="E182">
        <v>28.526329691518502</v>
      </c>
      <c r="F182">
        <v>5.5911703797151597</v>
      </c>
      <c r="G182">
        <v>0</v>
      </c>
      <c r="H182">
        <v>0</v>
      </c>
      <c r="I182" s="72">
        <f t="shared" si="5"/>
        <v>34.117500071233664</v>
      </c>
      <c r="J182"/>
    </row>
    <row r="183" spans="1:10" x14ac:dyDescent="0.3">
      <c r="A183">
        <v>2026</v>
      </c>
      <c r="B183">
        <v>6</v>
      </c>
      <c r="C183">
        <v>30</v>
      </c>
      <c r="D183">
        <v>2026.4960000000001</v>
      </c>
      <c r="E183">
        <v>28.595963955848902</v>
      </c>
      <c r="F183">
        <v>5.6554281110461204</v>
      </c>
      <c r="G183">
        <v>0</v>
      </c>
      <c r="H183">
        <v>0</v>
      </c>
      <c r="I183" s="106">
        <f t="shared" si="5"/>
        <v>34.251392066895022</v>
      </c>
      <c r="J183"/>
    </row>
    <row r="184" spans="1:10" x14ac:dyDescent="0.3">
      <c r="A184">
        <v>2026</v>
      </c>
      <c r="B184">
        <v>7</v>
      </c>
      <c r="C184">
        <v>31</v>
      </c>
      <c r="D184">
        <v>2026.5809999999999</v>
      </c>
      <c r="E184">
        <v>28.667619139759498</v>
      </c>
      <c r="F184">
        <v>5.7244281795758498</v>
      </c>
      <c r="G184">
        <v>0</v>
      </c>
      <c r="H184">
        <v>0</v>
      </c>
      <c r="I184" s="72">
        <f t="shared" si="5"/>
        <v>34.392047319335347</v>
      </c>
      <c r="J184"/>
    </row>
    <row r="185" spans="1:10" x14ac:dyDescent="0.3">
      <c r="A185">
        <v>2026</v>
      </c>
      <c r="B185">
        <v>8</v>
      </c>
      <c r="C185">
        <v>31</v>
      </c>
      <c r="D185">
        <v>2026.6659999999999</v>
      </c>
      <c r="E185">
        <v>28.738928683117798</v>
      </c>
      <c r="F185">
        <v>5.8028546858473904</v>
      </c>
      <c r="G185">
        <v>0</v>
      </c>
      <c r="H185">
        <v>0</v>
      </c>
      <c r="I185" s="72">
        <f t="shared" si="5"/>
        <v>34.541783368965191</v>
      </c>
      <c r="J185"/>
    </row>
    <row r="186" spans="1:10" x14ac:dyDescent="0.3">
      <c r="A186">
        <v>2026</v>
      </c>
      <c r="B186">
        <v>9</v>
      </c>
      <c r="C186">
        <v>30</v>
      </c>
      <c r="D186">
        <v>2026.748</v>
      </c>
      <c r="E186">
        <v>28.807647943162301</v>
      </c>
      <c r="F186">
        <v>5.8651121532521699</v>
      </c>
      <c r="G186">
        <v>0</v>
      </c>
      <c r="H186">
        <v>0</v>
      </c>
      <c r="I186" s="72">
        <f t="shared" si="5"/>
        <v>34.672760096414471</v>
      </c>
      <c r="J186"/>
    </row>
    <row r="187" spans="1:10" x14ac:dyDescent="0.3">
      <c r="A187">
        <v>2026</v>
      </c>
      <c r="B187">
        <v>10</v>
      </c>
      <c r="C187">
        <v>31</v>
      </c>
      <c r="D187">
        <v>2026.8330000000001</v>
      </c>
      <c r="E187">
        <v>28.878362759163799</v>
      </c>
      <c r="F187">
        <v>5.8918631005948399</v>
      </c>
      <c r="G187">
        <v>0</v>
      </c>
      <c r="H187">
        <v>0</v>
      </c>
      <c r="I187" s="72">
        <f t="shared" si="5"/>
        <v>34.770225859758639</v>
      </c>
      <c r="J187"/>
    </row>
    <row r="188" spans="1:10" x14ac:dyDescent="0.3">
      <c r="A188">
        <v>2026</v>
      </c>
      <c r="B188">
        <v>11</v>
      </c>
      <c r="C188">
        <v>30</v>
      </c>
      <c r="D188">
        <v>2026.915</v>
      </c>
      <c r="E188">
        <v>28.946512446202998</v>
      </c>
      <c r="F188">
        <v>5.9094645831042696</v>
      </c>
      <c r="G188">
        <v>0</v>
      </c>
      <c r="H188">
        <v>0</v>
      </c>
      <c r="I188" s="72">
        <f t="shared" si="5"/>
        <v>34.855977029307269</v>
      </c>
      <c r="J188"/>
    </row>
    <row r="189" spans="1:10" x14ac:dyDescent="0.3">
      <c r="A189">
        <v>2026</v>
      </c>
      <c r="B189">
        <v>12</v>
      </c>
      <c r="C189">
        <v>31</v>
      </c>
      <c r="D189">
        <v>2027</v>
      </c>
      <c r="E189">
        <v>29.0166419388793</v>
      </c>
      <c r="F189">
        <v>5.9251231553833597</v>
      </c>
      <c r="G189">
        <v>0</v>
      </c>
      <c r="H189">
        <v>0</v>
      </c>
      <c r="I189" s="72">
        <f t="shared" si="5"/>
        <v>34.941765094262657</v>
      </c>
      <c r="J189"/>
    </row>
    <row r="190" spans="1:10" x14ac:dyDescent="0.3">
      <c r="A190">
        <v>2027</v>
      </c>
      <c r="B190">
        <v>1</v>
      </c>
      <c r="C190">
        <v>31</v>
      </c>
      <c r="D190">
        <v>2027.085</v>
      </c>
      <c r="E190">
        <v>29.086476436108899</v>
      </c>
      <c r="F190">
        <v>5.94060034678908</v>
      </c>
      <c r="G190">
        <v>0</v>
      </c>
      <c r="H190">
        <v>0</v>
      </c>
      <c r="I190" s="72">
        <f t="shared" si="5"/>
        <v>35.027076782897979</v>
      </c>
      <c r="J190"/>
    </row>
    <row r="191" spans="1:10" x14ac:dyDescent="0.3">
      <c r="A191">
        <v>2027</v>
      </c>
      <c r="B191">
        <v>2</v>
      </c>
      <c r="C191">
        <v>28</v>
      </c>
      <c r="D191">
        <v>2027.162</v>
      </c>
      <c r="E191">
        <v>29.149300572441302</v>
      </c>
      <c r="F191">
        <v>5.9563977816074498</v>
      </c>
      <c r="G191">
        <v>0</v>
      </c>
      <c r="H191">
        <v>0</v>
      </c>
      <c r="I191" s="72">
        <f t="shared" si="5"/>
        <v>35.105698354048755</v>
      </c>
      <c r="J191"/>
    </row>
    <row r="192" spans="1:10" x14ac:dyDescent="0.3">
      <c r="A192">
        <v>2027</v>
      </c>
      <c r="B192">
        <v>3</v>
      </c>
      <c r="C192">
        <v>31</v>
      </c>
      <c r="D192">
        <v>2027.2470000000001</v>
      </c>
      <c r="E192">
        <v>29.218578172487099</v>
      </c>
      <c r="F192">
        <v>5.9835628212786096</v>
      </c>
      <c r="G192">
        <v>0</v>
      </c>
      <c r="H192">
        <v>0</v>
      </c>
      <c r="I192" s="72">
        <f t="shared" si="5"/>
        <v>35.20214099376571</v>
      </c>
      <c r="J192"/>
    </row>
    <row r="193" spans="1:10" x14ac:dyDescent="0.3">
      <c r="A193">
        <v>2027</v>
      </c>
      <c r="B193">
        <v>4</v>
      </c>
      <c r="C193">
        <v>30</v>
      </c>
      <c r="D193">
        <v>2027.329</v>
      </c>
      <c r="E193">
        <v>29.285344651191402</v>
      </c>
      <c r="F193">
        <v>6.0204541267586</v>
      </c>
      <c r="G193">
        <v>0</v>
      </c>
      <c r="H193">
        <v>0</v>
      </c>
      <c r="I193" s="72">
        <f t="shared" si="5"/>
        <v>35.305798777950002</v>
      </c>
      <c r="J193"/>
    </row>
    <row r="194" spans="1:10" x14ac:dyDescent="0.3">
      <c r="A194">
        <v>2027</v>
      </c>
      <c r="B194">
        <v>5</v>
      </c>
      <c r="C194">
        <v>31</v>
      </c>
      <c r="D194">
        <v>2027.414</v>
      </c>
      <c r="E194">
        <v>29.354052685179401</v>
      </c>
      <c r="F194">
        <v>6.0604966656021997</v>
      </c>
      <c r="G194">
        <v>0</v>
      </c>
      <c r="H194">
        <v>0</v>
      </c>
      <c r="I194" s="72">
        <f t="shared" si="5"/>
        <v>35.414549350781598</v>
      </c>
      <c r="J194"/>
    </row>
    <row r="195" spans="1:10" x14ac:dyDescent="0.3">
      <c r="A195">
        <v>2027</v>
      </c>
      <c r="B195">
        <v>6</v>
      </c>
      <c r="C195">
        <v>30</v>
      </c>
      <c r="D195">
        <v>2027.4960000000001</v>
      </c>
      <c r="E195">
        <v>29.420271000103899</v>
      </c>
      <c r="F195">
        <v>6.1201025772834097</v>
      </c>
      <c r="G195">
        <v>0</v>
      </c>
      <c r="H195">
        <v>0</v>
      </c>
      <c r="I195" s="106">
        <f t="shared" si="5"/>
        <v>35.540373577387307</v>
      </c>
      <c r="J195"/>
    </row>
    <row r="196" spans="1:10" x14ac:dyDescent="0.3">
      <c r="A196">
        <v>2027</v>
      </c>
      <c r="B196">
        <v>7</v>
      </c>
      <c r="C196">
        <v>31</v>
      </c>
      <c r="D196">
        <v>2027.5809999999999</v>
      </c>
      <c r="E196">
        <v>29.488415710586899</v>
      </c>
      <c r="F196">
        <v>6.1845665391676103</v>
      </c>
      <c r="G196">
        <v>0</v>
      </c>
      <c r="H196">
        <v>0</v>
      </c>
      <c r="I196" s="72">
        <f t="shared" si="5"/>
        <v>35.672982249754511</v>
      </c>
      <c r="J196"/>
    </row>
    <row r="197" spans="1:10" x14ac:dyDescent="0.3">
      <c r="A197">
        <v>2027</v>
      </c>
      <c r="B197">
        <v>8</v>
      </c>
      <c r="C197">
        <v>31</v>
      </c>
      <c r="D197">
        <v>2027.6659999999999</v>
      </c>
      <c r="E197">
        <v>29.556239553839202</v>
      </c>
      <c r="F197">
        <v>6.25933470250017</v>
      </c>
      <c r="G197">
        <v>0</v>
      </c>
      <c r="H197">
        <v>0</v>
      </c>
      <c r="I197" s="72">
        <f t="shared" si="5"/>
        <v>35.815574256339374</v>
      </c>
      <c r="J197"/>
    </row>
    <row r="198" spans="1:10" x14ac:dyDescent="0.3">
      <c r="A198">
        <v>2027</v>
      </c>
      <c r="B198">
        <v>9</v>
      </c>
      <c r="C198">
        <v>30</v>
      </c>
      <c r="D198">
        <v>2027.748</v>
      </c>
      <c r="E198">
        <v>29.621604389135499</v>
      </c>
      <c r="F198">
        <v>6.3173353704252904</v>
      </c>
      <c r="G198">
        <v>0</v>
      </c>
      <c r="H198">
        <v>0</v>
      </c>
      <c r="I198" s="72">
        <f t="shared" si="5"/>
        <v>35.938939759560789</v>
      </c>
      <c r="J198"/>
    </row>
    <row r="199" spans="1:10" x14ac:dyDescent="0.3">
      <c r="A199">
        <v>2027</v>
      </c>
      <c r="B199">
        <v>10</v>
      </c>
      <c r="C199">
        <v>31</v>
      </c>
      <c r="D199">
        <v>2027.8330000000001</v>
      </c>
      <c r="E199">
        <v>29.6888719590292</v>
      </c>
      <c r="F199">
        <v>6.33720643790795</v>
      </c>
      <c r="G199">
        <v>0</v>
      </c>
      <c r="H199">
        <v>0</v>
      </c>
      <c r="I199" s="72">
        <f t="shared" si="5"/>
        <v>36.026078396937152</v>
      </c>
      <c r="J199"/>
    </row>
    <row r="200" spans="1:10" x14ac:dyDescent="0.3">
      <c r="A200">
        <v>2027</v>
      </c>
      <c r="B200">
        <v>11</v>
      </c>
      <c r="C200">
        <v>30</v>
      </c>
      <c r="D200">
        <v>2027.915</v>
      </c>
      <c r="E200">
        <v>29.7537038790393</v>
      </c>
      <c r="F200">
        <v>6.3477558513282899</v>
      </c>
      <c r="G200">
        <v>0</v>
      </c>
      <c r="H200">
        <v>0</v>
      </c>
      <c r="I200" s="72">
        <f t="shared" si="5"/>
        <v>36.101459730367587</v>
      </c>
      <c r="J200"/>
    </row>
    <row r="201" spans="1:10" x14ac:dyDescent="0.3">
      <c r="A201">
        <v>2027</v>
      </c>
      <c r="B201">
        <v>12</v>
      </c>
      <c r="C201">
        <v>31</v>
      </c>
      <c r="D201">
        <v>2028</v>
      </c>
      <c r="E201">
        <v>29.8204237923085</v>
      </c>
      <c r="F201">
        <v>6.35612927685328</v>
      </c>
      <c r="G201">
        <v>0</v>
      </c>
      <c r="H201">
        <v>0</v>
      </c>
      <c r="I201" s="72">
        <f t="shared" si="5"/>
        <v>36.176553069161777</v>
      </c>
      <c r="J201"/>
    </row>
    <row r="202" spans="1:10" x14ac:dyDescent="0.3">
      <c r="A202">
        <v>2028</v>
      </c>
      <c r="B202">
        <v>1</v>
      </c>
      <c r="C202">
        <v>31</v>
      </c>
      <c r="D202">
        <v>2028.085</v>
      </c>
      <c r="E202">
        <v>29.8868676892649</v>
      </c>
      <c r="F202">
        <v>6.3644759913251301</v>
      </c>
      <c r="G202">
        <v>0</v>
      </c>
      <c r="H202">
        <v>0</v>
      </c>
      <c r="I202" s="72">
        <f t="shared" si="5"/>
        <v>36.251343680590033</v>
      </c>
      <c r="J202"/>
    </row>
    <row r="203" spans="1:10" x14ac:dyDescent="0.3">
      <c r="A203">
        <v>2028</v>
      </c>
      <c r="B203">
        <v>2</v>
      </c>
      <c r="C203">
        <v>29</v>
      </c>
      <c r="D203">
        <v>2028.164</v>
      </c>
      <c r="E203">
        <v>29.948776366763401</v>
      </c>
      <c r="F203">
        <v>6.3747004878824702</v>
      </c>
      <c r="G203">
        <v>0</v>
      </c>
      <c r="H203">
        <v>0</v>
      </c>
      <c r="I203" s="72">
        <f t="shared" ref="I203:I266" si="6">E203+F203</f>
        <v>36.323476854645868</v>
      </c>
      <c r="J203"/>
    </row>
    <row r="204" spans="1:10" x14ac:dyDescent="0.3">
      <c r="A204">
        <v>2028</v>
      </c>
      <c r="B204">
        <v>3</v>
      </c>
      <c r="C204">
        <v>31</v>
      </c>
      <c r="D204">
        <v>2028.249</v>
      </c>
      <c r="E204">
        <v>30.0146904013164</v>
      </c>
      <c r="F204">
        <v>6.3961715086776998</v>
      </c>
      <c r="G204">
        <v>0</v>
      </c>
      <c r="H204">
        <v>0</v>
      </c>
      <c r="I204" s="72">
        <f t="shared" si="6"/>
        <v>36.410861909994097</v>
      </c>
      <c r="J204"/>
    </row>
    <row r="205" spans="1:10" x14ac:dyDescent="0.3">
      <c r="A205">
        <v>2028</v>
      </c>
      <c r="B205">
        <v>4</v>
      </c>
      <c r="C205">
        <v>30</v>
      </c>
      <c r="D205">
        <v>2028.3309999999999</v>
      </c>
      <c r="E205">
        <v>30.078219632568</v>
      </c>
      <c r="F205">
        <v>6.42785536107532</v>
      </c>
      <c r="G205">
        <v>0</v>
      </c>
      <c r="H205">
        <v>0</v>
      </c>
      <c r="I205" s="72">
        <f t="shared" si="6"/>
        <v>36.506074993643324</v>
      </c>
      <c r="J205"/>
    </row>
    <row r="206" spans="1:10" x14ac:dyDescent="0.3">
      <c r="A206">
        <v>2028</v>
      </c>
      <c r="B206">
        <v>5</v>
      </c>
      <c r="C206">
        <v>31</v>
      </c>
      <c r="D206">
        <v>2028.415</v>
      </c>
      <c r="E206">
        <v>30.143600814276599</v>
      </c>
      <c r="F206">
        <v>6.4636403923801904</v>
      </c>
      <c r="G206">
        <v>0</v>
      </c>
      <c r="H206">
        <v>0</v>
      </c>
      <c r="I206" s="72">
        <f t="shared" si="6"/>
        <v>36.607241206656788</v>
      </c>
      <c r="J206"/>
    </row>
    <row r="207" spans="1:10" x14ac:dyDescent="0.3">
      <c r="A207">
        <v>2028</v>
      </c>
      <c r="B207">
        <v>6</v>
      </c>
      <c r="C207">
        <v>30</v>
      </c>
      <c r="D207">
        <v>2028.4970000000001</v>
      </c>
      <c r="E207">
        <v>30.206617206126701</v>
      </c>
      <c r="F207">
        <v>6.51962578078831</v>
      </c>
      <c r="G207">
        <v>0</v>
      </c>
      <c r="H207">
        <v>0</v>
      </c>
      <c r="I207" s="106">
        <f t="shared" si="6"/>
        <v>36.726242986915011</v>
      </c>
      <c r="J207"/>
    </row>
    <row r="208" spans="1:10" x14ac:dyDescent="0.3">
      <c r="A208">
        <v>2028</v>
      </c>
      <c r="B208">
        <v>7</v>
      </c>
      <c r="C208">
        <v>31</v>
      </c>
      <c r="D208">
        <v>2028.5820000000001</v>
      </c>
      <c r="E208">
        <v>30.271471355306598</v>
      </c>
      <c r="F208">
        <v>6.5810847442553904</v>
      </c>
      <c r="G208">
        <v>0</v>
      </c>
      <c r="H208">
        <v>0</v>
      </c>
      <c r="I208" s="72">
        <f t="shared" si="6"/>
        <v>36.852556099561987</v>
      </c>
      <c r="J208"/>
    </row>
    <row r="209" spans="1:10" x14ac:dyDescent="0.3">
      <c r="A209">
        <v>2028</v>
      </c>
      <c r="B209">
        <v>8</v>
      </c>
      <c r="C209">
        <v>31</v>
      </c>
      <c r="D209">
        <v>2028.6669999999999</v>
      </c>
      <c r="E209">
        <v>30.336027368066802</v>
      </c>
      <c r="F209">
        <v>6.6526959662880003</v>
      </c>
      <c r="G209">
        <v>0</v>
      </c>
      <c r="H209">
        <v>0</v>
      </c>
      <c r="I209" s="72">
        <f t="shared" si="6"/>
        <v>36.988723334354802</v>
      </c>
      <c r="J209"/>
    </row>
    <row r="210" spans="1:10" x14ac:dyDescent="0.3">
      <c r="A210">
        <v>2028</v>
      </c>
      <c r="B210">
        <v>9</v>
      </c>
      <c r="C210">
        <v>30</v>
      </c>
      <c r="D210">
        <v>2028.749</v>
      </c>
      <c r="E210">
        <v>30.3982473679267</v>
      </c>
      <c r="F210">
        <v>6.7058258293700304</v>
      </c>
      <c r="G210">
        <v>0</v>
      </c>
      <c r="H210">
        <v>0</v>
      </c>
      <c r="I210" s="72">
        <f t="shared" si="6"/>
        <v>37.104073197296728</v>
      </c>
      <c r="J210"/>
    </row>
    <row r="211" spans="1:10" x14ac:dyDescent="0.3">
      <c r="A211">
        <v>2028</v>
      </c>
      <c r="B211">
        <v>10</v>
      </c>
      <c r="C211">
        <v>31</v>
      </c>
      <c r="D211">
        <v>2028.8330000000001</v>
      </c>
      <c r="E211">
        <v>30.462283029241402</v>
      </c>
      <c r="F211">
        <v>6.7198310872881502</v>
      </c>
      <c r="G211">
        <v>0</v>
      </c>
      <c r="H211">
        <v>0</v>
      </c>
      <c r="I211" s="72">
        <f t="shared" si="6"/>
        <v>37.182114116529554</v>
      </c>
      <c r="J211"/>
    </row>
    <row r="212" spans="1:10" x14ac:dyDescent="0.3">
      <c r="A212">
        <v>2028</v>
      </c>
      <c r="B212">
        <v>11</v>
      </c>
      <c r="C212">
        <v>30</v>
      </c>
      <c r="D212">
        <v>2028.915</v>
      </c>
      <c r="E212">
        <v>30.524004377582202</v>
      </c>
      <c r="F212">
        <v>6.7245980354631101</v>
      </c>
      <c r="G212">
        <v>0</v>
      </c>
      <c r="H212">
        <v>0</v>
      </c>
      <c r="I212" s="72">
        <f t="shared" si="6"/>
        <v>37.248602413045312</v>
      </c>
      <c r="J212"/>
    </row>
    <row r="213" spans="1:10" x14ac:dyDescent="0.3">
      <c r="A213">
        <v>2028</v>
      </c>
      <c r="B213">
        <v>12</v>
      </c>
      <c r="C213">
        <v>31</v>
      </c>
      <c r="D213">
        <v>2029</v>
      </c>
      <c r="E213">
        <v>30.587527580298801</v>
      </c>
      <c r="F213">
        <v>6.7270787789820998</v>
      </c>
      <c r="G213">
        <v>0</v>
      </c>
      <c r="H213">
        <v>0</v>
      </c>
      <c r="I213" s="72">
        <f t="shared" si="6"/>
        <v>37.314606359280901</v>
      </c>
      <c r="J213"/>
    </row>
    <row r="214" spans="1:10" x14ac:dyDescent="0.3">
      <c r="A214">
        <v>2029</v>
      </c>
      <c r="B214">
        <v>1</v>
      </c>
      <c r="C214">
        <v>31</v>
      </c>
      <c r="D214">
        <v>2029.085</v>
      </c>
      <c r="E214">
        <v>30.6507924954632</v>
      </c>
      <c r="F214">
        <v>6.7297149203356597</v>
      </c>
      <c r="G214">
        <v>0</v>
      </c>
      <c r="H214">
        <v>0</v>
      </c>
      <c r="I214" s="72">
        <f t="shared" si="6"/>
        <v>37.38050741579886</v>
      </c>
      <c r="J214"/>
    </row>
    <row r="215" spans="1:10" x14ac:dyDescent="0.3">
      <c r="A215">
        <v>2029</v>
      </c>
      <c r="B215">
        <v>2</v>
      </c>
      <c r="C215">
        <v>28</v>
      </c>
      <c r="D215">
        <v>2029.162</v>
      </c>
      <c r="E215">
        <v>30.707714187163099</v>
      </c>
      <c r="F215">
        <v>6.73463863299592</v>
      </c>
      <c r="G215">
        <v>0</v>
      </c>
      <c r="H215">
        <v>0</v>
      </c>
      <c r="I215" s="72">
        <f t="shared" si="6"/>
        <v>37.442352820159016</v>
      </c>
      <c r="J215"/>
    </row>
    <row r="216" spans="1:10" x14ac:dyDescent="0.3">
      <c r="A216">
        <v>2029</v>
      </c>
      <c r="B216">
        <v>3</v>
      </c>
      <c r="C216">
        <v>31</v>
      </c>
      <c r="D216">
        <v>2029.2470000000001</v>
      </c>
      <c r="E216">
        <v>30.7704914718806</v>
      </c>
      <c r="F216">
        <v>6.7511877576002401</v>
      </c>
      <c r="G216">
        <v>0</v>
      </c>
      <c r="H216">
        <v>0</v>
      </c>
      <c r="I216" s="72">
        <f t="shared" si="6"/>
        <v>37.521679229480839</v>
      </c>
      <c r="J216"/>
    </row>
    <row r="217" spans="1:10" x14ac:dyDescent="0.3">
      <c r="A217">
        <v>2029</v>
      </c>
      <c r="B217">
        <v>4</v>
      </c>
      <c r="C217">
        <v>30</v>
      </c>
      <c r="D217">
        <v>2029.329</v>
      </c>
      <c r="E217">
        <v>30.831001679855301</v>
      </c>
      <c r="F217">
        <v>6.7787465550056503</v>
      </c>
      <c r="G217">
        <v>0</v>
      </c>
      <c r="H217">
        <v>0</v>
      </c>
      <c r="I217" s="72">
        <f t="shared" si="6"/>
        <v>37.609748234860952</v>
      </c>
      <c r="J217"/>
    </row>
    <row r="218" spans="1:10" x14ac:dyDescent="0.3">
      <c r="A218">
        <v>2029</v>
      </c>
      <c r="B218">
        <v>5</v>
      </c>
      <c r="C218">
        <v>31</v>
      </c>
      <c r="D218">
        <v>2029.414</v>
      </c>
      <c r="E218">
        <v>30.893280194242699</v>
      </c>
      <c r="F218">
        <v>6.8104541972002304</v>
      </c>
      <c r="G218">
        <v>0</v>
      </c>
      <c r="H218">
        <v>0</v>
      </c>
      <c r="I218" s="72">
        <f t="shared" si="6"/>
        <v>37.703734391442929</v>
      </c>
      <c r="J218"/>
    </row>
    <row r="219" spans="1:10" x14ac:dyDescent="0.3">
      <c r="A219">
        <v>2029</v>
      </c>
      <c r="B219">
        <v>6</v>
      </c>
      <c r="C219">
        <v>30</v>
      </c>
      <c r="D219">
        <v>2029.4960000000001</v>
      </c>
      <c r="E219">
        <v>30.9533103491591</v>
      </c>
      <c r="F219">
        <v>6.8635965258680001</v>
      </c>
      <c r="G219">
        <v>0</v>
      </c>
      <c r="H219">
        <v>0</v>
      </c>
      <c r="I219" s="106">
        <f t="shared" si="6"/>
        <v>37.816906875027101</v>
      </c>
      <c r="J219"/>
    </row>
    <row r="220" spans="1:10" x14ac:dyDescent="0.3">
      <c r="A220">
        <v>2029</v>
      </c>
      <c r="B220">
        <v>7</v>
      </c>
      <c r="C220">
        <v>31</v>
      </c>
      <c r="D220">
        <v>2029.5809999999999</v>
      </c>
      <c r="E220">
        <v>31.0150955076885</v>
      </c>
      <c r="F220">
        <v>6.9223169940884803</v>
      </c>
      <c r="G220">
        <v>0</v>
      </c>
      <c r="H220">
        <v>0</v>
      </c>
      <c r="I220" s="72">
        <f t="shared" si="6"/>
        <v>37.937412501776983</v>
      </c>
      <c r="J220"/>
    </row>
    <row r="221" spans="1:10" x14ac:dyDescent="0.3">
      <c r="A221">
        <v>2029</v>
      </c>
      <c r="B221">
        <v>8</v>
      </c>
      <c r="C221">
        <v>31</v>
      </c>
      <c r="D221">
        <v>2029.6659999999999</v>
      </c>
      <c r="E221">
        <v>31.076603288854301</v>
      </c>
      <c r="F221">
        <v>6.9917660352060897</v>
      </c>
      <c r="G221">
        <v>0</v>
      </c>
      <c r="H221">
        <v>0</v>
      </c>
      <c r="I221" s="72">
        <f t="shared" si="6"/>
        <v>38.068369324060392</v>
      </c>
      <c r="J221"/>
    </row>
    <row r="222" spans="1:10" x14ac:dyDescent="0.3">
      <c r="A222">
        <v>2029</v>
      </c>
      <c r="B222">
        <v>9</v>
      </c>
      <c r="C222">
        <v>30</v>
      </c>
      <c r="D222">
        <v>2029.748</v>
      </c>
      <c r="E222">
        <v>31.135889673811601</v>
      </c>
      <c r="F222">
        <v>7.0422242664007797</v>
      </c>
      <c r="G222">
        <v>0</v>
      </c>
      <c r="H222">
        <v>0</v>
      </c>
      <c r="I222" s="72">
        <f t="shared" si="6"/>
        <v>38.178113940212384</v>
      </c>
      <c r="J222"/>
    </row>
    <row r="223" spans="1:10" x14ac:dyDescent="0.3">
      <c r="A223">
        <v>2029</v>
      </c>
      <c r="B223">
        <v>10</v>
      </c>
      <c r="C223">
        <v>31</v>
      </c>
      <c r="D223">
        <v>2029.8330000000001</v>
      </c>
      <c r="E223">
        <v>31.196910399607098</v>
      </c>
      <c r="F223">
        <v>7.0517317863401301</v>
      </c>
      <c r="G223">
        <v>0</v>
      </c>
      <c r="H223">
        <v>0</v>
      </c>
      <c r="I223" s="72">
        <f t="shared" si="6"/>
        <v>38.248642185947226</v>
      </c>
      <c r="J223"/>
    </row>
    <row r="224" spans="1:10" x14ac:dyDescent="0.3">
      <c r="A224">
        <v>2029</v>
      </c>
      <c r="B224">
        <v>11</v>
      </c>
      <c r="C224">
        <v>30</v>
      </c>
      <c r="D224">
        <v>2029.915</v>
      </c>
      <c r="E224">
        <v>31.255729908105302</v>
      </c>
      <c r="F224">
        <v>7.0518568856911701</v>
      </c>
      <c r="G224">
        <v>0</v>
      </c>
      <c r="H224">
        <v>0</v>
      </c>
      <c r="I224" s="72">
        <f t="shared" si="6"/>
        <v>38.307586793796474</v>
      </c>
      <c r="J224"/>
    </row>
    <row r="225" spans="1:10" x14ac:dyDescent="0.3">
      <c r="A225">
        <v>2029</v>
      </c>
      <c r="B225">
        <v>12</v>
      </c>
      <c r="C225">
        <v>31</v>
      </c>
      <c r="D225">
        <v>2030</v>
      </c>
      <c r="E225">
        <v>31.3162708111279</v>
      </c>
      <c r="F225">
        <v>7.0495292218097196</v>
      </c>
      <c r="G225">
        <v>0</v>
      </c>
      <c r="H225">
        <v>0</v>
      </c>
      <c r="I225" s="72">
        <f t="shared" si="6"/>
        <v>38.365800032937621</v>
      </c>
      <c r="J225"/>
    </row>
    <row r="226" spans="1:10" x14ac:dyDescent="0.3">
      <c r="A226">
        <v>2030</v>
      </c>
      <c r="B226">
        <v>1</v>
      </c>
      <c r="C226">
        <v>31</v>
      </c>
      <c r="D226">
        <v>2030.085</v>
      </c>
      <c r="E226">
        <v>31.376569860689798</v>
      </c>
      <c r="F226">
        <v>7.0474538309363197</v>
      </c>
      <c r="G226">
        <v>0</v>
      </c>
      <c r="H226">
        <v>0</v>
      </c>
      <c r="I226" s="72">
        <f t="shared" si="6"/>
        <v>38.424023691626118</v>
      </c>
      <c r="J226"/>
    </row>
    <row r="227" spans="1:10" x14ac:dyDescent="0.3">
      <c r="A227">
        <v>2030</v>
      </c>
      <c r="B227">
        <v>2</v>
      </c>
      <c r="C227">
        <v>28</v>
      </c>
      <c r="D227">
        <v>2030.162</v>
      </c>
      <c r="E227">
        <v>31.430826747140301</v>
      </c>
      <c r="F227">
        <v>7.0482922657488096</v>
      </c>
      <c r="G227">
        <v>0</v>
      </c>
      <c r="H227">
        <v>0</v>
      </c>
      <c r="I227" s="72">
        <f t="shared" si="6"/>
        <v>38.479119012889115</v>
      </c>
      <c r="J227"/>
    </row>
    <row r="228" spans="1:10" x14ac:dyDescent="0.3">
      <c r="A228">
        <v>2030</v>
      </c>
      <c r="B228">
        <v>3</v>
      </c>
      <c r="C228">
        <v>31</v>
      </c>
      <c r="D228">
        <v>2030.2470000000001</v>
      </c>
      <c r="E228">
        <v>31.490669164279701</v>
      </c>
      <c r="F228">
        <v>7.0608322188040802</v>
      </c>
      <c r="G228">
        <v>0</v>
      </c>
      <c r="H228">
        <v>0</v>
      </c>
      <c r="I228" s="72">
        <f t="shared" si="6"/>
        <v>38.551501383083782</v>
      </c>
      <c r="J228"/>
    </row>
    <row r="229" spans="1:10" x14ac:dyDescent="0.3">
      <c r="A229">
        <v>2030</v>
      </c>
      <c r="B229">
        <v>4</v>
      </c>
      <c r="C229">
        <v>30</v>
      </c>
      <c r="D229">
        <v>2030.329</v>
      </c>
      <c r="E229">
        <v>31.548354547190002</v>
      </c>
      <c r="F229">
        <v>7.0850514479973397</v>
      </c>
      <c r="G229">
        <v>0</v>
      </c>
      <c r="H229">
        <v>0</v>
      </c>
      <c r="I229" s="72">
        <f t="shared" si="6"/>
        <v>38.633405995187339</v>
      </c>
      <c r="J229"/>
    </row>
    <row r="230" spans="1:10" x14ac:dyDescent="0.3">
      <c r="A230">
        <v>2030</v>
      </c>
      <c r="B230">
        <v>5</v>
      </c>
      <c r="C230">
        <v>31</v>
      </c>
      <c r="D230">
        <v>2030.414</v>
      </c>
      <c r="E230">
        <v>31.607729859943099</v>
      </c>
      <c r="F230">
        <v>7.1134608744985304</v>
      </c>
      <c r="G230">
        <v>0</v>
      </c>
      <c r="H230">
        <v>0</v>
      </c>
      <c r="I230" s="72">
        <f t="shared" si="6"/>
        <v>38.721190734441628</v>
      </c>
      <c r="J230"/>
    </row>
    <row r="231" spans="1:10" x14ac:dyDescent="0.3">
      <c r="A231">
        <v>2030</v>
      </c>
      <c r="B231">
        <v>6</v>
      </c>
      <c r="C231">
        <v>30</v>
      </c>
      <c r="D231">
        <v>2030.4960000000001</v>
      </c>
      <c r="E231">
        <v>31.6649656471665</v>
      </c>
      <c r="F231">
        <v>7.1643529916741997</v>
      </c>
      <c r="G231">
        <v>0</v>
      </c>
      <c r="H231">
        <v>0</v>
      </c>
      <c r="I231" s="106">
        <f t="shared" si="6"/>
        <v>38.829318638840704</v>
      </c>
      <c r="J231"/>
    </row>
    <row r="232" spans="1:10" x14ac:dyDescent="0.3">
      <c r="A232">
        <v>2030</v>
      </c>
      <c r="B232">
        <v>7</v>
      </c>
      <c r="C232">
        <v>31</v>
      </c>
      <c r="D232">
        <v>2030.5809999999999</v>
      </c>
      <c r="E232">
        <v>31.723878884246499</v>
      </c>
      <c r="F232">
        <v>7.2209144685140396</v>
      </c>
      <c r="G232">
        <v>0</v>
      </c>
      <c r="H232">
        <v>0</v>
      </c>
      <c r="I232" s="72">
        <f t="shared" si="6"/>
        <v>38.944793352760541</v>
      </c>
      <c r="J232"/>
    </row>
    <row r="233" spans="1:10" x14ac:dyDescent="0.3">
      <c r="A233">
        <v>2030</v>
      </c>
      <c r="B233">
        <v>8</v>
      </c>
      <c r="C233">
        <v>31</v>
      </c>
      <c r="D233">
        <v>2030.6659999999999</v>
      </c>
      <c r="E233">
        <v>31.782533756706901</v>
      </c>
      <c r="F233">
        <v>7.2886952770341003</v>
      </c>
      <c r="G233">
        <v>0</v>
      </c>
      <c r="H233">
        <v>0</v>
      </c>
      <c r="I233" s="72">
        <f t="shared" si="6"/>
        <v>39.071229033740998</v>
      </c>
      <c r="J233"/>
    </row>
    <row r="234" spans="1:10" x14ac:dyDescent="0.3">
      <c r="A234">
        <v>2030</v>
      </c>
      <c r="B234">
        <v>9</v>
      </c>
      <c r="C234">
        <v>30</v>
      </c>
      <c r="D234">
        <v>2030.748</v>
      </c>
      <c r="E234">
        <v>31.8390743687422</v>
      </c>
      <c r="F234">
        <v>7.3370343544274403</v>
      </c>
      <c r="G234">
        <v>0</v>
      </c>
      <c r="H234">
        <v>0</v>
      </c>
      <c r="I234" s="72">
        <f t="shared" si="6"/>
        <v>39.176108723169641</v>
      </c>
      <c r="J234"/>
    </row>
    <row r="235" spans="1:10" x14ac:dyDescent="0.3">
      <c r="A235">
        <v>2030</v>
      </c>
      <c r="B235">
        <v>10</v>
      </c>
      <c r="C235">
        <v>31</v>
      </c>
      <c r="D235">
        <v>2030.8330000000001</v>
      </c>
      <c r="E235">
        <v>31.897273085277298</v>
      </c>
      <c r="F235">
        <v>7.3428475266574198</v>
      </c>
      <c r="G235">
        <v>0</v>
      </c>
      <c r="H235">
        <v>0</v>
      </c>
      <c r="I235" s="72">
        <f t="shared" si="6"/>
        <v>39.240120611934721</v>
      </c>
      <c r="J235"/>
    </row>
    <row r="236" spans="1:10" x14ac:dyDescent="0.3">
      <c r="A236">
        <v>2030</v>
      </c>
      <c r="B236">
        <v>11</v>
      </c>
      <c r="C236">
        <v>30</v>
      </c>
      <c r="D236">
        <v>2030.915</v>
      </c>
      <c r="E236">
        <v>31.953376322754899</v>
      </c>
      <c r="F236">
        <v>7.3391415173056096</v>
      </c>
      <c r="G236">
        <v>0</v>
      </c>
      <c r="H236">
        <v>0</v>
      </c>
      <c r="I236" s="72">
        <f t="shared" si="6"/>
        <v>39.292517840060512</v>
      </c>
      <c r="J236"/>
    </row>
    <row r="237" spans="1:10" x14ac:dyDescent="0.3">
      <c r="A237">
        <v>2030</v>
      </c>
      <c r="B237">
        <v>12</v>
      </c>
      <c r="C237">
        <v>31</v>
      </c>
      <c r="D237">
        <v>2031</v>
      </c>
      <c r="E237">
        <v>32.011125514147899</v>
      </c>
      <c r="F237">
        <v>7.3328384317413802</v>
      </c>
      <c r="G237">
        <v>0</v>
      </c>
      <c r="H237">
        <v>0</v>
      </c>
      <c r="I237" s="72">
        <f t="shared" si="6"/>
        <v>39.343963945889278</v>
      </c>
      <c r="J237"/>
    </row>
    <row r="238" spans="1:10" x14ac:dyDescent="0.3">
      <c r="A238">
        <v>2031</v>
      </c>
      <c r="B238">
        <v>1</v>
      </c>
      <c r="C238">
        <v>31</v>
      </c>
      <c r="D238">
        <v>2031.085</v>
      </c>
      <c r="E238">
        <v>32.068648106235401</v>
      </c>
      <c r="F238">
        <v>7.3268650375421602</v>
      </c>
      <c r="G238">
        <v>0</v>
      </c>
      <c r="H238">
        <v>0</v>
      </c>
      <c r="I238" s="72">
        <f t="shared" si="6"/>
        <v>39.395513143777563</v>
      </c>
      <c r="J238"/>
    </row>
    <row r="239" spans="1:10" x14ac:dyDescent="0.3">
      <c r="A239">
        <v>2031</v>
      </c>
      <c r="B239">
        <v>2</v>
      </c>
      <c r="C239">
        <v>28</v>
      </c>
      <c r="D239">
        <v>2031.162</v>
      </c>
      <c r="E239">
        <v>32.120410256289397</v>
      </c>
      <c r="F239">
        <v>7.3243248560507297</v>
      </c>
      <c r="G239">
        <v>0</v>
      </c>
      <c r="H239">
        <v>0</v>
      </c>
      <c r="I239" s="72">
        <f t="shared" si="6"/>
        <v>39.444735112340126</v>
      </c>
      <c r="J239"/>
    </row>
    <row r="240" spans="1:10" x14ac:dyDescent="0.3">
      <c r="A240">
        <v>2031</v>
      </c>
      <c r="B240">
        <v>3</v>
      </c>
      <c r="C240">
        <v>31</v>
      </c>
      <c r="D240">
        <v>2031.2470000000001</v>
      </c>
      <c r="E240">
        <v>32.177504984028602</v>
      </c>
      <c r="F240">
        <v>7.3335639984796401</v>
      </c>
      <c r="G240">
        <v>0</v>
      </c>
      <c r="H240">
        <v>0</v>
      </c>
      <c r="I240" s="72">
        <f t="shared" si="6"/>
        <v>39.511068982508242</v>
      </c>
      <c r="J240"/>
    </row>
    <row r="241" spans="1:10" x14ac:dyDescent="0.3">
      <c r="A241">
        <v>2031</v>
      </c>
      <c r="B241">
        <v>4</v>
      </c>
      <c r="C241">
        <v>30</v>
      </c>
      <c r="D241">
        <v>2031.329</v>
      </c>
      <c r="E241">
        <v>32.232545574360401</v>
      </c>
      <c r="F241">
        <v>7.3550522575805202</v>
      </c>
      <c r="G241">
        <v>0</v>
      </c>
      <c r="H241">
        <v>0</v>
      </c>
      <c r="I241" s="72">
        <f t="shared" si="6"/>
        <v>39.587597831940919</v>
      </c>
      <c r="J241"/>
    </row>
    <row r="242" spans="1:10" x14ac:dyDescent="0.3">
      <c r="A242">
        <v>2031</v>
      </c>
      <c r="B242">
        <v>5</v>
      </c>
      <c r="C242">
        <v>31</v>
      </c>
      <c r="D242">
        <v>2031.414</v>
      </c>
      <c r="E242">
        <v>32.289202580096898</v>
      </c>
      <c r="F242">
        <v>7.3807672739160397</v>
      </c>
      <c r="G242">
        <v>0</v>
      </c>
      <c r="H242">
        <v>0</v>
      </c>
      <c r="I242" s="72">
        <f t="shared" si="6"/>
        <v>39.66996985401294</v>
      </c>
      <c r="J242"/>
    </row>
    <row r="243" spans="1:10" x14ac:dyDescent="0.3">
      <c r="A243">
        <v>2031</v>
      </c>
      <c r="B243">
        <v>6</v>
      </c>
      <c r="C243">
        <v>30</v>
      </c>
      <c r="D243">
        <v>2031.4960000000001</v>
      </c>
      <c r="E243">
        <v>32.343821833145299</v>
      </c>
      <c r="F243">
        <v>7.4298657589822001</v>
      </c>
      <c r="G243">
        <v>0</v>
      </c>
      <c r="H243">
        <v>0</v>
      </c>
      <c r="I243" s="106">
        <f t="shared" si="6"/>
        <v>39.773687592127501</v>
      </c>
      <c r="J243"/>
    </row>
    <row r="244" spans="1:10" x14ac:dyDescent="0.3">
      <c r="A244">
        <v>2031</v>
      </c>
      <c r="B244">
        <v>7</v>
      </c>
      <c r="C244">
        <v>31</v>
      </c>
      <c r="D244">
        <v>2031.5809999999999</v>
      </c>
      <c r="E244">
        <v>32.400045782494601</v>
      </c>
      <c r="F244">
        <v>7.4847142457050202</v>
      </c>
      <c r="G244">
        <v>0</v>
      </c>
      <c r="H244">
        <v>0</v>
      </c>
      <c r="I244" s="72">
        <f t="shared" si="6"/>
        <v>39.884760028199622</v>
      </c>
      <c r="J244"/>
    </row>
    <row r="245" spans="1:10" x14ac:dyDescent="0.3">
      <c r="A245">
        <v>2031</v>
      </c>
      <c r="B245">
        <v>8</v>
      </c>
      <c r="C245">
        <v>31</v>
      </c>
      <c r="D245">
        <v>2031.6659999999999</v>
      </c>
      <c r="E245">
        <v>32.456028791389002</v>
      </c>
      <c r="F245">
        <v>7.5512051296871698</v>
      </c>
      <c r="G245">
        <v>0</v>
      </c>
      <c r="H245">
        <v>0</v>
      </c>
      <c r="I245" s="72">
        <f t="shared" si="6"/>
        <v>40.007233921076171</v>
      </c>
      <c r="J245"/>
    </row>
    <row r="246" spans="1:10" x14ac:dyDescent="0.3">
      <c r="A246">
        <v>2031</v>
      </c>
      <c r="B246">
        <v>9</v>
      </c>
      <c r="C246">
        <v>30</v>
      </c>
      <c r="D246">
        <v>2031.748</v>
      </c>
      <c r="E246">
        <v>32.509997727709703</v>
      </c>
      <c r="F246">
        <v>7.5978512786108299</v>
      </c>
      <c r="G246">
        <v>0</v>
      </c>
      <c r="H246">
        <v>0</v>
      </c>
      <c r="I246" s="72">
        <f t="shared" si="6"/>
        <v>40.107849006320535</v>
      </c>
      <c r="J246"/>
    </row>
    <row r="247" spans="1:10" x14ac:dyDescent="0.3">
      <c r="A247">
        <v>2031</v>
      </c>
      <c r="B247">
        <v>10</v>
      </c>
      <c r="C247">
        <v>31</v>
      </c>
      <c r="D247">
        <v>2031.8330000000001</v>
      </c>
      <c r="E247">
        <v>32.565553227551497</v>
      </c>
      <c r="F247">
        <v>7.6005972082454702</v>
      </c>
      <c r="G247">
        <v>0</v>
      </c>
      <c r="H247">
        <v>0</v>
      </c>
      <c r="I247" s="72">
        <f t="shared" si="6"/>
        <v>40.166150435796965</v>
      </c>
      <c r="J247"/>
    </row>
    <row r="248" spans="1:10" x14ac:dyDescent="0.3">
      <c r="A248">
        <v>2031</v>
      </c>
      <c r="B248">
        <v>11</v>
      </c>
      <c r="C248">
        <v>30</v>
      </c>
      <c r="D248">
        <v>2031.915</v>
      </c>
      <c r="E248">
        <v>32.619112152519001</v>
      </c>
      <c r="F248">
        <v>7.59369439569448</v>
      </c>
      <c r="G248">
        <v>0</v>
      </c>
      <c r="H248">
        <v>0</v>
      </c>
      <c r="I248" s="72">
        <f t="shared" si="6"/>
        <v>40.212806548213479</v>
      </c>
      <c r="J248"/>
    </row>
    <row r="249" spans="1:10" x14ac:dyDescent="0.3">
      <c r="A249">
        <v>2031</v>
      </c>
      <c r="B249">
        <v>12</v>
      </c>
      <c r="C249">
        <v>31</v>
      </c>
      <c r="D249">
        <v>2032</v>
      </c>
      <c r="E249">
        <v>32.674246226500202</v>
      </c>
      <c r="F249">
        <v>7.5840683392593</v>
      </c>
      <c r="G249">
        <v>0</v>
      </c>
      <c r="H249">
        <v>0</v>
      </c>
      <c r="I249" s="72">
        <f t="shared" si="6"/>
        <v>40.258314565759505</v>
      </c>
      <c r="J249"/>
    </row>
    <row r="250" spans="1:10" x14ac:dyDescent="0.3">
      <c r="A250">
        <v>2032</v>
      </c>
      <c r="B250">
        <v>1</v>
      </c>
      <c r="C250">
        <v>31</v>
      </c>
      <c r="D250">
        <v>2032.085</v>
      </c>
      <c r="E250">
        <v>32.729167847096399</v>
      </c>
      <c r="F250">
        <v>7.5748346161641402</v>
      </c>
      <c r="G250">
        <v>0</v>
      </c>
      <c r="H250">
        <v>0</v>
      </c>
      <c r="I250" s="72">
        <f t="shared" si="6"/>
        <v>40.304002463260538</v>
      </c>
      <c r="J250"/>
    </row>
    <row r="251" spans="1:10" x14ac:dyDescent="0.3">
      <c r="A251">
        <v>2032</v>
      </c>
      <c r="B251">
        <v>2</v>
      </c>
      <c r="C251">
        <v>29</v>
      </c>
      <c r="D251">
        <v>2032.164</v>
      </c>
      <c r="E251">
        <v>32.780354816434503</v>
      </c>
      <c r="F251">
        <v>7.5695999171043402</v>
      </c>
      <c r="G251">
        <v>0</v>
      </c>
      <c r="H251">
        <v>0</v>
      </c>
      <c r="I251" s="72">
        <f t="shared" si="6"/>
        <v>40.349954733538844</v>
      </c>
      <c r="J251"/>
    </row>
    <row r="252" spans="1:10" x14ac:dyDescent="0.3">
      <c r="A252">
        <v>2032</v>
      </c>
      <c r="B252">
        <v>3</v>
      </c>
      <c r="C252">
        <v>31</v>
      </c>
      <c r="D252">
        <v>2032.249</v>
      </c>
      <c r="E252">
        <v>32.834868483962502</v>
      </c>
      <c r="F252">
        <v>7.5766143021022501</v>
      </c>
      <c r="G252">
        <v>0</v>
      </c>
      <c r="H252">
        <v>0</v>
      </c>
      <c r="I252" s="72">
        <f t="shared" si="6"/>
        <v>40.411482786064752</v>
      </c>
      <c r="J252"/>
    </row>
    <row r="253" spans="1:10" x14ac:dyDescent="0.3">
      <c r="A253">
        <v>2032</v>
      </c>
      <c r="B253">
        <v>4</v>
      </c>
      <c r="C253">
        <v>30</v>
      </c>
      <c r="D253">
        <v>2032.3309999999999</v>
      </c>
      <c r="E253">
        <v>32.887424531972698</v>
      </c>
      <c r="F253">
        <v>7.5957942681447497</v>
      </c>
      <c r="G253">
        <v>0</v>
      </c>
      <c r="H253">
        <v>0</v>
      </c>
      <c r="I253" s="72">
        <f t="shared" si="6"/>
        <v>40.483218800117449</v>
      </c>
      <c r="J253"/>
    </row>
    <row r="254" spans="1:10" x14ac:dyDescent="0.3">
      <c r="A254">
        <v>2032</v>
      </c>
      <c r="B254">
        <v>5</v>
      </c>
      <c r="C254">
        <v>31</v>
      </c>
      <c r="D254">
        <v>2032.415</v>
      </c>
      <c r="E254">
        <v>32.941527791092099</v>
      </c>
      <c r="F254">
        <v>7.6202875384778999</v>
      </c>
      <c r="G254">
        <v>0</v>
      </c>
      <c r="H254">
        <v>0</v>
      </c>
      <c r="I254" s="72">
        <f t="shared" si="6"/>
        <v>40.561815329569995</v>
      </c>
      <c r="J254"/>
    </row>
    <row r="255" spans="1:10" x14ac:dyDescent="0.3">
      <c r="A255">
        <v>2032</v>
      </c>
      <c r="B255">
        <v>6</v>
      </c>
      <c r="C255">
        <v>30</v>
      </c>
      <c r="D255">
        <v>2032.4970000000001</v>
      </c>
      <c r="E255">
        <v>32.993688769199501</v>
      </c>
      <c r="F255">
        <v>7.6679783546138101</v>
      </c>
      <c r="G255">
        <v>0</v>
      </c>
      <c r="H255">
        <v>0</v>
      </c>
      <c r="I255" s="106">
        <f t="shared" si="6"/>
        <v>40.661667123813309</v>
      </c>
      <c r="J255"/>
    </row>
    <row r="256" spans="1:10" x14ac:dyDescent="0.3">
      <c r="A256">
        <v>2032</v>
      </c>
      <c r="B256">
        <v>7</v>
      </c>
      <c r="C256">
        <v>31</v>
      </c>
      <c r="D256">
        <v>2032.5820000000001</v>
      </c>
      <c r="E256">
        <v>33.047385945251001</v>
      </c>
      <c r="F256">
        <v>7.7220381155560096</v>
      </c>
      <c r="G256">
        <v>0</v>
      </c>
      <c r="H256">
        <v>0</v>
      </c>
      <c r="I256" s="72">
        <f t="shared" si="6"/>
        <v>40.769424060807012</v>
      </c>
      <c r="J256"/>
    </row>
    <row r="257" spans="1:10" x14ac:dyDescent="0.3">
      <c r="A257">
        <v>2032</v>
      </c>
      <c r="B257">
        <v>8</v>
      </c>
      <c r="C257">
        <v>31</v>
      </c>
      <c r="D257">
        <v>2032.6669999999999</v>
      </c>
      <c r="E257">
        <v>33.1008581996064</v>
      </c>
      <c r="F257">
        <v>7.7871621990447197</v>
      </c>
      <c r="G257">
        <v>0</v>
      </c>
      <c r="H257">
        <v>0</v>
      </c>
      <c r="I257" s="72">
        <f t="shared" si="6"/>
        <v>40.888020398651122</v>
      </c>
      <c r="J257"/>
    </row>
    <row r="258" spans="1:10" x14ac:dyDescent="0.3">
      <c r="A258">
        <v>2032</v>
      </c>
      <c r="B258">
        <v>9</v>
      </c>
      <c r="C258">
        <v>30</v>
      </c>
      <c r="D258">
        <v>2032.749</v>
      </c>
      <c r="E258">
        <v>33.1524103729434</v>
      </c>
      <c r="F258">
        <v>7.8306770484234098</v>
      </c>
      <c r="G258">
        <v>0</v>
      </c>
      <c r="H258">
        <v>0</v>
      </c>
      <c r="I258" s="72">
        <f t="shared" si="6"/>
        <v>40.983087421366811</v>
      </c>
      <c r="J258"/>
    </row>
    <row r="259" spans="1:10" x14ac:dyDescent="0.3">
      <c r="A259">
        <v>2032</v>
      </c>
      <c r="B259">
        <v>10</v>
      </c>
      <c r="C259">
        <v>31</v>
      </c>
      <c r="D259">
        <v>2032.8330000000001</v>
      </c>
      <c r="E259">
        <v>33.205481731690703</v>
      </c>
      <c r="F259">
        <v>7.8304678226602498</v>
      </c>
      <c r="G259">
        <v>0</v>
      </c>
      <c r="H259">
        <v>0</v>
      </c>
      <c r="I259" s="72">
        <f t="shared" si="6"/>
        <v>41.03594955435095</v>
      </c>
      <c r="J259"/>
    </row>
    <row r="260" spans="1:10" x14ac:dyDescent="0.3">
      <c r="A260">
        <v>2032</v>
      </c>
      <c r="B260">
        <v>11</v>
      </c>
      <c r="C260">
        <v>30</v>
      </c>
      <c r="D260">
        <v>2032.915</v>
      </c>
      <c r="E260">
        <v>33.256649325194303</v>
      </c>
      <c r="F260">
        <v>7.8207692788758898</v>
      </c>
      <c r="G260">
        <v>0</v>
      </c>
      <c r="H260">
        <v>0</v>
      </c>
      <c r="I260" s="72">
        <f t="shared" si="6"/>
        <v>41.077418604070189</v>
      </c>
      <c r="J260"/>
    </row>
    <row r="261" spans="1:10" x14ac:dyDescent="0.3">
      <c r="A261">
        <v>2032</v>
      </c>
      <c r="B261">
        <v>12</v>
      </c>
      <c r="C261">
        <v>31</v>
      </c>
      <c r="D261">
        <v>2033</v>
      </c>
      <c r="E261">
        <v>33.309325372764498</v>
      </c>
      <c r="F261">
        <v>7.8083365170372003</v>
      </c>
      <c r="G261">
        <v>0</v>
      </c>
      <c r="H261">
        <v>0</v>
      </c>
      <c r="I261" s="72">
        <f t="shared" si="6"/>
        <v>41.117661889801695</v>
      </c>
      <c r="J261"/>
    </row>
    <row r="262" spans="1:10" x14ac:dyDescent="0.3">
      <c r="A262">
        <v>2033</v>
      </c>
      <c r="B262">
        <v>1</v>
      </c>
      <c r="C262">
        <v>31</v>
      </c>
      <c r="D262">
        <v>2033.085</v>
      </c>
      <c r="E262">
        <v>33.361802113105597</v>
      </c>
      <c r="F262">
        <v>7.7964174980477603</v>
      </c>
      <c r="G262">
        <v>0</v>
      </c>
      <c r="H262">
        <v>0</v>
      </c>
      <c r="I262" s="72">
        <f t="shared" si="6"/>
        <v>41.158219611153356</v>
      </c>
      <c r="J262"/>
    </row>
    <row r="263" spans="1:10" x14ac:dyDescent="0.3">
      <c r="A263">
        <v>2033</v>
      </c>
      <c r="B263">
        <v>2</v>
      </c>
      <c r="C263">
        <v>28</v>
      </c>
      <c r="D263">
        <v>2033.162</v>
      </c>
      <c r="E263">
        <v>33.409030033540098</v>
      </c>
      <c r="F263">
        <v>7.7890574943450801</v>
      </c>
      <c r="G263">
        <v>0</v>
      </c>
      <c r="H263">
        <v>0</v>
      </c>
      <c r="I263" s="72">
        <f t="shared" si="6"/>
        <v>41.198087527885178</v>
      </c>
      <c r="J263"/>
    </row>
    <row r="264" spans="1:10" x14ac:dyDescent="0.3">
      <c r="A264">
        <v>2033</v>
      </c>
      <c r="B264">
        <v>3</v>
      </c>
      <c r="C264">
        <v>31</v>
      </c>
      <c r="D264">
        <v>2033.2470000000001</v>
      </c>
      <c r="E264">
        <v>33.4611303744</v>
      </c>
      <c r="F264">
        <v>7.79377722609643</v>
      </c>
      <c r="G264">
        <v>0</v>
      </c>
      <c r="H264">
        <v>0</v>
      </c>
      <c r="I264" s="72">
        <f t="shared" si="6"/>
        <v>41.254907600496431</v>
      </c>
      <c r="J264"/>
    </row>
    <row r="265" spans="1:10" x14ac:dyDescent="0.3">
      <c r="A265">
        <v>2033</v>
      </c>
      <c r="B265">
        <v>4</v>
      </c>
      <c r="C265">
        <v>30</v>
      </c>
      <c r="D265">
        <v>2033.329</v>
      </c>
      <c r="E265">
        <v>33.5113631980227</v>
      </c>
      <c r="F265">
        <v>7.8110760821965801</v>
      </c>
      <c r="G265">
        <v>0</v>
      </c>
      <c r="H265">
        <v>0</v>
      </c>
      <c r="I265" s="72">
        <f t="shared" si="6"/>
        <v>41.322439280219278</v>
      </c>
      <c r="J265"/>
    </row>
    <row r="266" spans="1:10" x14ac:dyDescent="0.3">
      <c r="A266">
        <v>2033</v>
      </c>
      <c r="B266">
        <v>5</v>
      </c>
      <c r="C266">
        <v>31</v>
      </c>
      <c r="D266">
        <v>2033.414</v>
      </c>
      <c r="E266">
        <v>33.563078373599801</v>
      </c>
      <c r="F266">
        <v>7.8337424113303999</v>
      </c>
      <c r="G266">
        <v>0</v>
      </c>
      <c r="H266">
        <v>0</v>
      </c>
      <c r="I266" s="72">
        <f t="shared" si="6"/>
        <v>41.396820784930199</v>
      </c>
      <c r="J266"/>
    </row>
    <row r="267" spans="1:10" x14ac:dyDescent="0.3">
      <c r="A267">
        <v>2033</v>
      </c>
      <c r="B267">
        <v>6</v>
      </c>
      <c r="C267">
        <v>30</v>
      </c>
      <c r="D267">
        <v>2033.4960000000001</v>
      </c>
      <c r="E267">
        <v>33.612940402989501</v>
      </c>
      <c r="F267">
        <v>7.8802720067777603</v>
      </c>
      <c r="G267">
        <v>0</v>
      </c>
      <c r="H267">
        <v>0</v>
      </c>
      <c r="I267" s="106">
        <f t="shared" ref="I267:I311" si="7">E267+F267</f>
        <v>41.49321240976726</v>
      </c>
      <c r="J267"/>
    </row>
    <row r="268" spans="1:10" x14ac:dyDescent="0.3">
      <c r="A268">
        <v>2033</v>
      </c>
      <c r="B268">
        <v>7</v>
      </c>
      <c r="C268">
        <v>31</v>
      </c>
      <c r="D268">
        <v>2033.5809999999999</v>
      </c>
      <c r="E268">
        <v>33.664274423069998</v>
      </c>
      <c r="F268">
        <v>7.9332476272676198</v>
      </c>
      <c r="G268">
        <v>0</v>
      </c>
      <c r="H268">
        <v>0</v>
      </c>
      <c r="I268" s="72">
        <f t="shared" si="7"/>
        <v>41.597522050337616</v>
      </c>
      <c r="J268"/>
    </row>
    <row r="269" spans="1:10" x14ac:dyDescent="0.3">
      <c r="A269">
        <v>2033</v>
      </c>
      <c r="B269">
        <v>8</v>
      </c>
      <c r="C269">
        <v>31</v>
      </c>
      <c r="D269">
        <v>2033.6659999999999</v>
      </c>
      <c r="E269">
        <v>33.7153981892112</v>
      </c>
      <c r="F269">
        <v>7.9975918045103196</v>
      </c>
      <c r="G269">
        <v>0</v>
      </c>
      <c r="H269">
        <v>0</v>
      </c>
      <c r="I269" s="72">
        <f t="shared" si="7"/>
        <v>41.712989993721521</v>
      </c>
      <c r="J269"/>
    </row>
    <row r="270" spans="1:10" x14ac:dyDescent="0.3">
      <c r="A270">
        <v>2033</v>
      </c>
      <c r="B270">
        <v>9</v>
      </c>
      <c r="C270">
        <v>30</v>
      </c>
      <c r="D270">
        <v>2033.748</v>
      </c>
      <c r="E270">
        <v>33.764689636729699</v>
      </c>
      <c r="F270">
        <v>8.0399651737917601</v>
      </c>
      <c r="G270">
        <v>0</v>
      </c>
      <c r="H270">
        <v>0</v>
      </c>
      <c r="I270" s="72">
        <f t="shared" si="7"/>
        <v>41.804654810521455</v>
      </c>
      <c r="J270"/>
    </row>
    <row r="271" spans="1:10" x14ac:dyDescent="0.3">
      <c r="A271">
        <v>2033</v>
      </c>
      <c r="B271">
        <v>10</v>
      </c>
      <c r="C271">
        <v>31</v>
      </c>
      <c r="D271">
        <v>2033.8330000000001</v>
      </c>
      <c r="E271">
        <v>33.8154370932115</v>
      </c>
      <c r="F271">
        <v>8.0375669399051599</v>
      </c>
      <c r="G271">
        <v>0</v>
      </c>
      <c r="H271">
        <v>0</v>
      </c>
      <c r="I271" s="72">
        <f t="shared" si="7"/>
        <v>41.853004033116662</v>
      </c>
      <c r="J271"/>
    </row>
    <row r="272" spans="1:10" x14ac:dyDescent="0.3">
      <c r="A272">
        <v>2033</v>
      </c>
      <c r="B272">
        <v>11</v>
      </c>
      <c r="C272">
        <v>30</v>
      </c>
      <c r="D272">
        <v>2033.915</v>
      </c>
      <c r="E272">
        <v>33.864367463645898</v>
      </c>
      <c r="F272">
        <v>8.0255694425062902</v>
      </c>
      <c r="G272">
        <v>0</v>
      </c>
      <c r="H272">
        <v>0</v>
      </c>
      <c r="I272" s="72">
        <f t="shared" si="7"/>
        <v>41.889936906152187</v>
      </c>
      <c r="J272"/>
    </row>
    <row r="273" spans="1:10" x14ac:dyDescent="0.3">
      <c r="A273">
        <v>2033</v>
      </c>
      <c r="B273">
        <v>12</v>
      </c>
      <c r="C273">
        <v>31</v>
      </c>
      <c r="D273">
        <v>2034</v>
      </c>
      <c r="E273">
        <v>33.914743742800297</v>
      </c>
      <c r="F273">
        <v>8.0107409703102093</v>
      </c>
      <c r="G273">
        <v>0</v>
      </c>
      <c r="H273">
        <v>0</v>
      </c>
      <c r="I273" s="72">
        <f t="shared" si="7"/>
        <v>41.925484713110507</v>
      </c>
      <c r="J273"/>
    </row>
    <row r="274" spans="1:10" x14ac:dyDescent="0.3">
      <c r="A274">
        <v>2034</v>
      </c>
      <c r="B274">
        <v>1</v>
      </c>
      <c r="C274">
        <v>31</v>
      </c>
      <c r="D274">
        <v>2034.085</v>
      </c>
      <c r="E274">
        <v>33.964932863577303</v>
      </c>
      <c r="F274">
        <v>7.9964702087124504</v>
      </c>
      <c r="G274">
        <v>0</v>
      </c>
      <c r="H274">
        <v>0</v>
      </c>
      <c r="I274" s="72">
        <f t="shared" si="7"/>
        <v>41.961403072289755</v>
      </c>
      <c r="J274"/>
    </row>
    <row r="275" spans="1:10" x14ac:dyDescent="0.3">
      <c r="A275">
        <v>2034</v>
      </c>
      <c r="B275">
        <v>2</v>
      </c>
      <c r="C275">
        <v>28</v>
      </c>
      <c r="D275">
        <v>2034.162</v>
      </c>
      <c r="E275">
        <v>34.0101049247614</v>
      </c>
      <c r="F275">
        <v>7.9870821589907601</v>
      </c>
      <c r="G275">
        <v>0</v>
      </c>
      <c r="H275">
        <v>0</v>
      </c>
      <c r="I275" s="72">
        <f t="shared" si="7"/>
        <v>41.997187083752159</v>
      </c>
      <c r="J275"/>
    </row>
    <row r="276" spans="1:10" x14ac:dyDescent="0.3">
      <c r="A276">
        <v>2034</v>
      </c>
      <c r="B276">
        <v>3</v>
      </c>
      <c r="C276">
        <v>31</v>
      </c>
      <c r="D276">
        <v>2034.2470000000001</v>
      </c>
      <c r="E276">
        <v>34.059940554541001</v>
      </c>
      <c r="F276">
        <v>7.98985399807066</v>
      </c>
      <c r="G276">
        <v>0</v>
      </c>
      <c r="H276">
        <v>0</v>
      </c>
      <c r="I276" s="72">
        <f t="shared" si="7"/>
        <v>42.049794552611658</v>
      </c>
      <c r="J276"/>
    </row>
    <row r="277" spans="1:10" x14ac:dyDescent="0.3">
      <c r="A277">
        <v>2034</v>
      </c>
      <c r="B277">
        <v>4</v>
      </c>
      <c r="C277">
        <v>30</v>
      </c>
      <c r="D277">
        <v>2034.329</v>
      </c>
      <c r="E277">
        <v>34.107993077639499</v>
      </c>
      <c r="F277">
        <v>8.0055686825646699</v>
      </c>
      <c r="G277">
        <v>0</v>
      </c>
      <c r="H277">
        <v>0</v>
      </c>
      <c r="I277" s="72">
        <f t="shared" si="7"/>
        <v>42.113561760204171</v>
      </c>
      <c r="J277"/>
    </row>
    <row r="278" spans="1:10" x14ac:dyDescent="0.3">
      <c r="A278">
        <v>2034</v>
      </c>
      <c r="B278">
        <v>5</v>
      </c>
      <c r="C278">
        <v>31</v>
      </c>
      <c r="D278">
        <v>2034.414</v>
      </c>
      <c r="E278">
        <v>34.157466935910499</v>
      </c>
      <c r="F278">
        <v>8.0267000409318108</v>
      </c>
      <c r="G278">
        <v>0</v>
      </c>
      <c r="H278">
        <v>0</v>
      </c>
      <c r="I278" s="72">
        <f t="shared" si="7"/>
        <v>42.184166976842306</v>
      </c>
      <c r="J278"/>
    </row>
    <row r="279" spans="1:10" x14ac:dyDescent="0.3">
      <c r="A279">
        <v>2034</v>
      </c>
      <c r="B279">
        <v>6</v>
      </c>
      <c r="C279">
        <v>30</v>
      </c>
      <c r="D279">
        <v>2034.4960000000001</v>
      </c>
      <c r="E279">
        <v>34.205171161976402</v>
      </c>
      <c r="F279">
        <v>8.0722853107871195</v>
      </c>
      <c r="G279">
        <v>0</v>
      </c>
      <c r="H279">
        <v>0</v>
      </c>
      <c r="I279" s="106">
        <f t="shared" si="7"/>
        <v>42.277456472763518</v>
      </c>
      <c r="J279"/>
    </row>
    <row r="280" spans="1:10" x14ac:dyDescent="0.3">
      <c r="A280">
        <v>2034</v>
      </c>
      <c r="B280">
        <v>7</v>
      </c>
      <c r="C280">
        <v>31</v>
      </c>
      <c r="D280">
        <v>2034.5809999999999</v>
      </c>
      <c r="E280">
        <v>34.254286966136398</v>
      </c>
      <c r="F280">
        <v>8.1243866816905097</v>
      </c>
      <c r="G280">
        <v>0</v>
      </c>
      <c r="H280">
        <v>0</v>
      </c>
      <c r="I280" s="72">
        <f t="shared" si="7"/>
        <v>42.378673647826908</v>
      </c>
      <c r="J280"/>
    </row>
    <row r="281" spans="1:10" x14ac:dyDescent="0.3">
      <c r="A281">
        <v>2034</v>
      </c>
      <c r="B281">
        <v>8</v>
      </c>
      <c r="C281">
        <v>31</v>
      </c>
      <c r="D281">
        <v>2034.6659999999999</v>
      </c>
      <c r="E281">
        <v>34.303205995185699</v>
      </c>
      <c r="F281">
        <v>8.1881272048734903</v>
      </c>
      <c r="G281">
        <v>0</v>
      </c>
      <c r="H281">
        <v>0</v>
      </c>
      <c r="I281" s="72">
        <f t="shared" si="7"/>
        <v>42.491333200059188</v>
      </c>
      <c r="J281"/>
    </row>
    <row r="282" spans="1:10" x14ac:dyDescent="0.3">
      <c r="A282">
        <v>2034</v>
      </c>
      <c r="B282">
        <v>9</v>
      </c>
      <c r="C282">
        <v>30</v>
      </c>
      <c r="D282">
        <v>2034.748</v>
      </c>
      <c r="E282">
        <v>34.350374944513298</v>
      </c>
      <c r="F282">
        <v>8.2295665698599603</v>
      </c>
      <c r="G282">
        <v>0</v>
      </c>
      <c r="H282">
        <v>0</v>
      </c>
      <c r="I282" s="72">
        <f t="shared" si="7"/>
        <v>42.57994151437326</v>
      </c>
      <c r="J282"/>
    </row>
    <row r="283" spans="1:10" x14ac:dyDescent="0.3">
      <c r="A283">
        <v>2034</v>
      </c>
      <c r="B283">
        <v>10</v>
      </c>
      <c r="C283">
        <v>31</v>
      </c>
      <c r="D283">
        <v>2034.8330000000001</v>
      </c>
      <c r="E283">
        <v>34.398940442424603</v>
      </c>
      <c r="F283">
        <v>8.2252933735889595</v>
      </c>
      <c r="G283">
        <v>0</v>
      </c>
      <c r="H283">
        <v>0</v>
      </c>
      <c r="I283" s="72">
        <f t="shared" si="7"/>
        <v>42.624233816013565</v>
      </c>
      <c r="J283"/>
    </row>
    <row r="284" spans="1:10" x14ac:dyDescent="0.3">
      <c r="A284">
        <v>2034</v>
      </c>
      <c r="B284">
        <v>11</v>
      </c>
      <c r="C284">
        <v>30</v>
      </c>
      <c r="D284">
        <v>2034.915</v>
      </c>
      <c r="E284">
        <v>34.445770097373099</v>
      </c>
      <c r="F284">
        <v>8.2113164296513208</v>
      </c>
      <c r="G284">
        <v>0</v>
      </c>
      <c r="H284">
        <v>0</v>
      </c>
      <c r="I284" s="72">
        <f t="shared" si="7"/>
        <v>42.657086527024418</v>
      </c>
      <c r="J284"/>
    </row>
    <row r="285" spans="1:10" x14ac:dyDescent="0.3">
      <c r="A285">
        <v>2034</v>
      </c>
      <c r="B285">
        <v>12</v>
      </c>
      <c r="C285">
        <v>31</v>
      </c>
      <c r="D285">
        <v>2035</v>
      </c>
      <c r="E285">
        <v>34.4939867857914</v>
      </c>
      <c r="F285">
        <v>8.1944217734071891</v>
      </c>
      <c r="G285">
        <v>0</v>
      </c>
      <c r="H285">
        <v>0</v>
      </c>
      <c r="I285" s="72">
        <f t="shared" si="7"/>
        <v>42.688408559198592</v>
      </c>
      <c r="J285"/>
    </row>
    <row r="286" spans="1:10" x14ac:dyDescent="0.3">
      <c r="A286">
        <v>2035</v>
      </c>
      <c r="B286">
        <v>1</v>
      </c>
      <c r="C286">
        <v>31</v>
      </c>
      <c r="D286">
        <v>2035.085</v>
      </c>
      <c r="E286">
        <v>34.5420275758743</v>
      </c>
      <c r="F286">
        <v>8.1781217679465001</v>
      </c>
      <c r="G286">
        <v>0</v>
      </c>
      <c r="H286">
        <v>0</v>
      </c>
      <c r="I286" s="72">
        <f t="shared" si="7"/>
        <v>42.7201493438208</v>
      </c>
      <c r="J286"/>
    </row>
    <row r="287" spans="1:10" x14ac:dyDescent="0.3">
      <c r="A287">
        <v>2035</v>
      </c>
      <c r="B287">
        <v>2</v>
      </c>
      <c r="C287">
        <v>28</v>
      </c>
      <c r="D287">
        <v>2035.162</v>
      </c>
      <c r="E287">
        <v>34.5852688279967</v>
      </c>
      <c r="F287">
        <v>8.1669852468457709</v>
      </c>
      <c r="G287">
        <v>0</v>
      </c>
      <c r="H287">
        <v>0</v>
      </c>
      <c r="I287" s="72">
        <f t="shared" si="7"/>
        <v>42.752254074842469</v>
      </c>
      <c r="J287"/>
    </row>
    <row r="288" spans="1:10" x14ac:dyDescent="0.3">
      <c r="A288">
        <v>2035</v>
      </c>
      <c r="B288">
        <v>3</v>
      </c>
      <c r="C288">
        <v>31</v>
      </c>
      <c r="D288">
        <v>2035.2470000000001</v>
      </c>
      <c r="E288">
        <v>34.632977360008802</v>
      </c>
      <c r="F288">
        <v>8.1680871323544597</v>
      </c>
      <c r="G288">
        <v>0</v>
      </c>
      <c r="H288">
        <v>0</v>
      </c>
      <c r="I288" s="72">
        <f t="shared" si="7"/>
        <v>42.80106449236326</v>
      </c>
      <c r="J288"/>
    </row>
    <row r="289" spans="1:10" x14ac:dyDescent="0.3">
      <c r="A289">
        <v>2035</v>
      </c>
      <c r="B289">
        <v>4</v>
      </c>
      <c r="C289">
        <v>30</v>
      </c>
      <c r="D289">
        <v>2035.329</v>
      </c>
      <c r="E289">
        <v>34.678981926449197</v>
      </c>
      <c r="F289">
        <v>8.1824548943514301</v>
      </c>
      <c r="G289">
        <v>0</v>
      </c>
      <c r="H289">
        <v>0</v>
      </c>
      <c r="I289" s="72">
        <f t="shared" si="7"/>
        <v>42.861436820800627</v>
      </c>
      <c r="J289"/>
    </row>
    <row r="290" spans="1:10" x14ac:dyDescent="0.3">
      <c r="A290">
        <v>2035</v>
      </c>
      <c r="B290">
        <v>5</v>
      </c>
      <c r="C290">
        <v>31</v>
      </c>
      <c r="D290">
        <v>2035.414</v>
      </c>
      <c r="E290">
        <v>34.726350370353302</v>
      </c>
      <c r="F290">
        <v>8.2022844003609698</v>
      </c>
      <c r="G290">
        <v>0</v>
      </c>
      <c r="H290">
        <v>0</v>
      </c>
      <c r="I290" s="72">
        <f t="shared" si="7"/>
        <v>42.928634770714268</v>
      </c>
      <c r="J290"/>
    </row>
    <row r="291" spans="1:10" x14ac:dyDescent="0.3">
      <c r="A291">
        <v>2035</v>
      </c>
      <c r="B291">
        <v>6</v>
      </c>
      <c r="C291">
        <v>30</v>
      </c>
      <c r="D291">
        <v>2035.4960000000001</v>
      </c>
      <c r="E291">
        <v>34.772027492510702</v>
      </c>
      <c r="F291">
        <v>8.2470966610178493</v>
      </c>
      <c r="G291">
        <v>0</v>
      </c>
      <c r="H291">
        <v>0</v>
      </c>
      <c r="I291" s="106">
        <f t="shared" si="7"/>
        <v>43.019124153528551</v>
      </c>
      <c r="J291"/>
    </row>
    <row r="292" spans="1:10" x14ac:dyDescent="0.3">
      <c r="A292">
        <v>2035</v>
      </c>
      <c r="B292">
        <v>7</v>
      </c>
      <c r="C292">
        <v>31</v>
      </c>
      <c r="D292">
        <v>2035.5809999999999</v>
      </c>
      <c r="E292">
        <v>34.819059295484799</v>
      </c>
      <c r="F292">
        <v>8.2984892246843707</v>
      </c>
      <c r="G292">
        <v>0</v>
      </c>
      <c r="H292">
        <v>0</v>
      </c>
      <c r="I292" s="72">
        <f t="shared" si="7"/>
        <v>43.117548520169166</v>
      </c>
      <c r="J292"/>
    </row>
    <row r="293" spans="1:10" x14ac:dyDescent="0.3">
      <c r="A293">
        <v>2035</v>
      </c>
      <c r="B293">
        <v>8</v>
      </c>
      <c r="C293">
        <v>31</v>
      </c>
      <c r="D293">
        <v>2035.6659999999999</v>
      </c>
      <c r="E293">
        <v>34.865906722902501</v>
      </c>
      <c r="F293">
        <v>8.3617638003613308</v>
      </c>
      <c r="G293">
        <v>0</v>
      </c>
      <c r="H293">
        <v>0</v>
      </c>
      <c r="I293" s="72">
        <f t="shared" si="7"/>
        <v>43.227670523263832</v>
      </c>
      <c r="J293"/>
    </row>
    <row r="294" spans="1:10" x14ac:dyDescent="0.3">
      <c r="A294">
        <v>2035</v>
      </c>
      <c r="B294">
        <v>9</v>
      </c>
      <c r="C294">
        <v>30</v>
      </c>
      <c r="D294">
        <v>2035.748</v>
      </c>
      <c r="E294">
        <v>34.911081197035202</v>
      </c>
      <c r="F294">
        <v>8.4024334620366297</v>
      </c>
      <c r="G294">
        <v>0</v>
      </c>
      <c r="H294">
        <v>0</v>
      </c>
      <c r="I294" s="72">
        <f t="shared" si="7"/>
        <v>43.313514659071828</v>
      </c>
      <c r="J294"/>
    </row>
    <row r="295" spans="1:10" x14ac:dyDescent="0.3">
      <c r="A295">
        <v>2035</v>
      </c>
      <c r="B295">
        <v>10</v>
      </c>
      <c r="C295">
        <v>31</v>
      </c>
      <c r="D295">
        <v>2035.8330000000001</v>
      </c>
      <c r="E295">
        <v>34.957596203128602</v>
      </c>
      <c r="F295">
        <v>8.3965384895740804</v>
      </c>
      <c r="G295">
        <v>0</v>
      </c>
      <c r="H295">
        <v>0</v>
      </c>
      <c r="I295" s="72">
        <f t="shared" si="7"/>
        <v>43.354134692702686</v>
      </c>
      <c r="J295"/>
    </row>
    <row r="296" spans="1:10" x14ac:dyDescent="0.3">
      <c r="A296">
        <v>2035</v>
      </c>
      <c r="B296">
        <v>11</v>
      </c>
      <c r="C296">
        <v>30</v>
      </c>
      <c r="D296">
        <v>2035.915</v>
      </c>
      <c r="E296">
        <v>35.002451576585599</v>
      </c>
      <c r="F296">
        <v>8.3808404462653492</v>
      </c>
      <c r="G296">
        <v>0</v>
      </c>
      <c r="H296">
        <v>0</v>
      </c>
      <c r="I296" s="72">
        <f t="shared" si="7"/>
        <v>43.383292022850952</v>
      </c>
      <c r="J296"/>
    </row>
    <row r="297" spans="1:10" x14ac:dyDescent="0.3">
      <c r="A297">
        <v>2035</v>
      </c>
      <c r="B297">
        <v>12</v>
      </c>
      <c r="C297">
        <v>31</v>
      </c>
      <c r="D297">
        <v>2036</v>
      </c>
      <c r="E297">
        <v>35.048638509856403</v>
      </c>
      <c r="F297">
        <v>8.3621463632950999</v>
      </c>
      <c r="G297">
        <v>0</v>
      </c>
      <c r="H297">
        <v>0</v>
      </c>
      <c r="I297" s="72">
        <f t="shared" si="7"/>
        <v>43.410784873151499</v>
      </c>
      <c r="J297"/>
    </row>
    <row r="298" spans="1:10" x14ac:dyDescent="0.3">
      <c r="A298">
        <v>2036</v>
      </c>
      <c r="B298">
        <v>1</v>
      </c>
      <c r="C298">
        <v>31</v>
      </c>
      <c r="D298">
        <v>2036.085</v>
      </c>
      <c r="E298">
        <v>35.094659984117698</v>
      </c>
      <c r="F298">
        <v>8.3440783235489508</v>
      </c>
      <c r="G298">
        <v>0</v>
      </c>
      <c r="H298">
        <v>0</v>
      </c>
      <c r="I298" s="72">
        <f t="shared" si="7"/>
        <v>43.438738307666647</v>
      </c>
      <c r="J298"/>
    </row>
    <row r="299" spans="1:10" x14ac:dyDescent="0.3">
      <c r="A299">
        <v>2036</v>
      </c>
      <c r="B299">
        <v>2</v>
      </c>
      <c r="C299">
        <v>29</v>
      </c>
      <c r="D299">
        <v>2036.164</v>
      </c>
      <c r="E299">
        <v>35.137563289655802</v>
      </c>
      <c r="F299">
        <v>8.3313039624997902</v>
      </c>
      <c r="G299">
        <v>0</v>
      </c>
      <c r="H299">
        <v>0</v>
      </c>
      <c r="I299" s="72">
        <f t="shared" si="7"/>
        <v>43.46886725215559</v>
      </c>
      <c r="J299"/>
    </row>
    <row r="300" spans="1:10" x14ac:dyDescent="0.3">
      <c r="A300">
        <v>2036</v>
      </c>
      <c r="B300">
        <v>3</v>
      </c>
      <c r="C300">
        <v>31</v>
      </c>
      <c r="D300">
        <v>2036.249</v>
      </c>
      <c r="E300">
        <v>35.183266920359301</v>
      </c>
      <c r="F300">
        <v>8.3315271517939795</v>
      </c>
      <c r="G300">
        <v>0</v>
      </c>
      <c r="H300">
        <v>0</v>
      </c>
      <c r="I300" s="72">
        <f t="shared" si="7"/>
        <v>43.514794072153279</v>
      </c>
      <c r="J300"/>
    </row>
    <row r="301" spans="1:10" x14ac:dyDescent="0.3">
      <c r="A301">
        <v>2036</v>
      </c>
      <c r="B301">
        <v>4</v>
      </c>
      <c r="C301">
        <v>30</v>
      </c>
      <c r="D301">
        <v>2036.3309999999999</v>
      </c>
      <c r="E301">
        <v>35.227341044068702</v>
      </c>
      <c r="F301">
        <v>8.3446857138657204</v>
      </c>
      <c r="G301">
        <v>0</v>
      </c>
      <c r="H301">
        <v>0</v>
      </c>
      <c r="I301" s="72">
        <f t="shared" si="7"/>
        <v>43.572026757934424</v>
      </c>
      <c r="J301"/>
    </row>
    <row r="302" spans="1:10" x14ac:dyDescent="0.3">
      <c r="A302">
        <v>2036</v>
      </c>
      <c r="B302">
        <v>5</v>
      </c>
      <c r="C302">
        <v>31</v>
      </c>
      <c r="D302">
        <v>2036.415</v>
      </c>
      <c r="E302">
        <v>35.272724744388803</v>
      </c>
      <c r="F302">
        <v>8.3644771015522998</v>
      </c>
      <c r="G302">
        <v>0</v>
      </c>
      <c r="H302">
        <v>0</v>
      </c>
      <c r="I302" s="72">
        <f t="shared" si="7"/>
        <v>43.637201845941107</v>
      </c>
      <c r="J302"/>
    </row>
    <row r="303" spans="1:10" x14ac:dyDescent="0.3">
      <c r="A303">
        <v>2036</v>
      </c>
      <c r="B303">
        <v>6</v>
      </c>
      <c r="C303">
        <v>30</v>
      </c>
      <c r="D303">
        <v>2036.4970000000001</v>
      </c>
      <c r="E303">
        <v>35.316490809946501</v>
      </c>
      <c r="F303">
        <v>8.40869514624044</v>
      </c>
      <c r="G303">
        <v>0</v>
      </c>
      <c r="H303">
        <v>0</v>
      </c>
      <c r="I303" s="106">
        <f t="shared" si="7"/>
        <v>43.725185956186941</v>
      </c>
      <c r="J303"/>
    </row>
    <row r="304" spans="1:10" x14ac:dyDescent="0.3">
      <c r="A304">
        <v>2036</v>
      </c>
      <c r="B304">
        <v>7</v>
      </c>
      <c r="C304">
        <v>31</v>
      </c>
      <c r="D304">
        <v>2036.5820000000001</v>
      </c>
      <c r="E304">
        <v>35.361557777131203</v>
      </c>
      <c r="F304">
        <v>8.4601263613986699</v>
      </c>
      <c r="G304">
        <v>0</v>
      </c>
      <c r="H304">
        <v>0</v>
      </c>
      <c r="I304" s="72">
        <f t="shared" si="7"/>
        <v>43.821684138529875</v>
      </c>
      <c r="J304"/>
    </row>
    <row r="305" spans="1:10" x14ac:dyDescent="0.3">
      <c r="A305">
        <v>2036</v>
      </c>
      <c r="B305">
        <v>8</v>
      </c>
      <c r="C305">
        <v>31</v>
      </c>
      <c r="D305">
        <v>2036.6669999999999</v>
      </c>
      <c r="E305">
        <v>35.406451816050001</v>
      </c>
      <c r="F305">
        <v>8.5226613139547904</v>
      </c>
      <c r="G305">
        <v>0</v>
      </c>
      <c r="H305">
        <v>0</v>
      </c>
      <c r="I305" s="72">
        <f t="shared" si="7"/>
        <v>43.929113130004794</v>
      </c>
      <c r="J305"/>
    </row>
    <row r="306" spans="1:10" x14ac:dyDescent="0.3">
      <c r="A306">
        <v>2036</v>
      </c>
      <c r="B306">
        <v>9</v>
      </c>
      <c r="C306">
        <v>30</v>
      </c>
      <c r="D306">
        <v>2036.749</v>
      </c>
      <c r="E306">
        <v>35.449745486478498</v>
      </c>
      <c r="F306">
        <v>8.5607878663611299</v>
      </c>
      <c r="G306">
        <v>0</v>
      </c>
      <c r="H306">
        <v>0</v>
      </c>
      <c r="I306" s="72">
        <f t="shared" si="7"/>
        <v>44.01053335283963</v>
      </c>
      <c r="J306"/>
    </row>
    <row r="307" spans="1:10" x14ac:dyDescent="0.3">
      <c r="A307">
        <v>2036</v>
      </c>
      <c r="B307">
        <v>10</v>
      </c>
      <c r="C307">
        <v>31</v>
      </c>
      <c r="D307">
        <v>2036.8330000000001</v>
      </c>
      <c r="E307">
        <v>35.494326727167802</v>
      </c>
      <c r="F307">
        <v>8.5530697763613706</v>
      </c>
      <c r="G307">
        <v>0</v>
      </c>
      <c r="H307">
        <v>0</v>
      </c>
      <c r="I307" s="72">
        <f t="shared" si="7"/>
        <v>44.047396503529171</v>
      </c>
      <c r="J307"/>
    </row>
    <row r="308" spans="1:10" x14ac:dyDescent="0.3">
      <c r="A308">
        <v>2036</v>
      </c>
      <c r="B308">
        <v>11</v>
      </c>
      <c r="C308">
        <v>30</v>
      </c>
      <c r="D308">
        <v>2036.915</v>
      </c>
      <c r="E308">
        <v>35.537320074484697</v>
      </c>
      <c r="F308">
        <v>8.5357576044926908</v>
      </c>
      <c r="G308">
        <v>0</v>
      </c>
      <c r="H308">
        <v>0</v>
      </c>
      <c r="I308" s="72">
        <f t="shared" si="7"/>
        <v>44.073077678977384</v>
      </c>
      <c r="J308"/>
    </row>
    <row r="309" spans="1:10" x14ac:dyDescent="0.3">
      <c r="A309">
        <v>2036</v>
      </c>
      <c r="B309">
        <v>12</v>
      </c>
      <c r="C309">
        <v>31</v>
      </c>
      <c r="D309">
        <v>2037</v>
      </c>
      <c r="E309">
        <v>35.581592525524201</v>
      </c>
      <c r="F309">
        <v>8.5154860268928498</v>
      </c>
      <c r="G309">
        <v>0</v>
      </c>
      <c r="H309">
        <v>0</v>
      </c>
      <c r="I309" s="72">
        <f t="shared" si="7"/>
        <v>44.097078552417052</v>
      </c>
      <c r="J309"/>
    </row>
    <row r="310" spans="1:10" x14ac:dyDescent="0.3">
      <c r="A310">
        <v>2037</v>
      </c>
      <c r="B310">
        <v>1</v>
      </c>
      <c r="C310">
        <v>31</v>
      </c>
      <c r="D310">
        <v>2037.085</v>
      </c>
      <c r="E310">
        <v>35.625709225716498</v>
      </c>
      <c r="F310">
        <v>8.4959426214461509</v>
      </c>
      <c r="G310">
        <v>0</v>
      </c>
      <c r="H310">
        <v>0</v>
      </c>
      <c r="I310" s="72">
        <f t="shared" si="7"/>
        <v>44.121651847162653</v>
      </c>
      <c r="J310"/>
    </row>
    <row r="311" spans="1:10" x14ac:dyDescent="0.3">
      <c r="I311" s="72">
        <f t="shared" si="7"/>
        <v>0</v>
      </c>
      <c r="J311"/>
    </row>
  </sheetData>
  <pageMargins left="0.70866141732283472" right="0.70866141732283472" top="0.74803149606299213" bottom="0.74803149606299213" header="0.31496062992125984" footer="0.31496062992125984"/>
  <pageSetup paperSize="9" scale="87" fitToHeight="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8:R356"/>
  <sheetViews>
    <sheetView workbookViewId="0">
      <selection activeCell="E182" sqref="E182"/>
    </sheetView>
  </sheetViews>
  <sheetFormatPr defaultColWidth="9" defaultRowHeight="16.5" x14ac:dyDescent="0.3"/>
  <cols>
    <col min="1" max="1" width="72.7109375" bestFit="1" customWidth="1"/>
    <col min="2" max="2" width="6.85546875" bestFit="1" customWidth="1"/>
    <col min="3" max="3" width="4.28515625" bestFit="1" customWidth="1"/>
    <col min="4" max="4" width="9.140625"/>
    <col min="5" max="5" width="14.42578125" bestFit="1" customWidth="1"/>
    <col min="6" max="6" width="21.42578125" bestFit="1" customWidth="1"/>
    <col min="7" max="7" width="22.140625" bestFit="1" customWidth="1"/>
    <col min="8" max="8" width="22.5703125" bestFit="1" customWidth="1"/>
    <col min="9" max="9" width="21.140625" style="11" bestFit="1" customWidth="1"/>
    <col min="10" max="10" width="9" style="11"/>
    <col min="11" max="11" width="5" style="2" bestFit="1" customWidth="1"/>
    <col min="12" max="12" width="6" style="2" bestFit="1" customWidth="1"/>
    <col min="13" max="13" width="11.85546875" style="2" bestFit="1" customWidth="1"/>
    <col min="14" max="14" width="5" style="2" bestFit="1" customWidth="1"/>
    <col min="15" max="15" width="13.28515625" style="2" bestFit="1" customWidth="1"/>
    <col min="16" max="16" width="15.28515625" style="2" bestFit="1" customWidth="1"/>
    <col min="17" max="17" width="19" style="2" bestFit="1" customWidth="1"/>
    <col min="18" max="18" width="19.5703125" style="2" bestFit="1" customWidth="1"/>
    <col min="19" max="16384" width="9" style="2"/>
  </cols>
  <sheetData>
    <row r="8" spans="1:9" x14ac:dyDescent="0.3">
      <c r="A8" t="s">
        <v>260</v>
      </c>
      <c r="B8" t="s">
        <v>261</v>
      </c>
      <c r="C8" t="s">
        <v>262</v>
      </c>
      <c r="D8" t="s">
        <v>263</v>
      </c>
      <c r="E8" t="s">
        <v>264</v>
      </c>
      <c r="F8" t="s">
        <v>265</v>
      </c>
      <c r="G8" t="s">
        <v>266</v>
      </c>
      <c r="H8" t="s">
        <v>267</v>
      </c>
      <c r="I8" s="72" t="s">
        <v>268</v>
      </c>
    </row>
    <row r="9" spans="1:9" x14ac:dyDescent="0.3">
      <c r="E9" t="s">
        <v>269</v>
      </c>
      <c r="F9" t="s">
        <v>269</v>
      </c>
      <c r="G9" t="s">
        <v>270</v>
      </c>
      <c r="H9" t="s">
        <v>271</v>
      </c>
      <c r="I9" s="72" t="s">
        <v>269</v>
      </c>
    </row>
    <row r="10" spans="1:9" x14ac:dyDescent="0.3">
      <c r="A10">
        <v>2010</v>
      </c>
      <c r="B10">
        <v>8</v>
      </c>
      <c r="C10">
        <v>31</v>
      </c>
      <c r="D10">
        <v>2010.6659999999999</v>
      </c>
      <c r="E10">
        <v>0</v>
      </c>
      <c r="F10">
        <v>0</v>
      </c>
      <c r="I10" s="11">
        <f>E10+F10</f>
        <v>0</v>
      </c>
    </row>
    <row r="11" spans="1:9" x14ac:dyDescent="0.3">
      <c r="A11">
        <v>2010</v>
      </c>
      <c r="B11">
        <v>9</v>
      </c>
      <c r="C11">
        <v>30</v>
      </c>
      <c r="D11">
        <v>2010.748</v>
      </c>
      <c r="E11">
        <v>0.29370000000000002</v>
      </c>
      <c r="F11">
        <v>3.7001182927979999E-3</v>
      </c>
      <c r="G11">
        <v>0</v>
      </c>
      <c r="H11">
        <v>0</v>
      </c>
      <c r="I11" s="11">
        <f t="shared" ref="I11:I74" si="0">E11+F11</f>
        <v>0.297400118292798</v>
      </c>
    </row>
    <row r="12" spans="1:9" x14ac:dyDescent="0.3">
      <c r="A12">
        <v>2010</v>
      </c>
      <c r="B12">
        <v>10</v>
      </c>
      <c r="C12">
        <v>31</v>
      </c>
      <c r="D12">
        <v>2010.8330000000001</v>
      </c>
      <c r="E12">
        <v>0.29370000000000002</v>
      </c>
      <c r="F12">
        <v>7.3371067827970003E-3</v>
      </c>
      <c r="G12">
        <v>0</v>
      </c>
      <c r="H12">
        <v>0</v>
      </c>
      <c r="I12" s="11">
        <f t="shared" si="0"/>
        <v>0.30103710678279699</v>
      </c>
    </row>
    <row r="13" spans="1:9" x14ac:dyDescent="0.3">
      <c r="A13">
        <v>2010</v>
      </c>
      <c r="B13">
        <v>11</v>
      </c>
      <c r="C13">
        <v>30</v>
      </c>
      <c r="D13">
        <v>2010.915</v>
      </c>
      <c r="E13">
        <v>0.29370000000000002</v>
      </c>
      <c r="F13">
        <v>1.0740389641505E-2</v>
      </c>
      <c r="G13">
        <v>0</v>
      </c>
      <c r="H13">
        <v>0</v>
      </c>
      <c r="I13" s="11">
        <f t="shared" si="0"/>
        <v>0.30444038964150499</v>
      </c>
    </row>
    <row r="14" spans="1:9" x14ac:dyDescent="0.3">
      <c r="A14">
        <v>2010</v>
      </c>
      <c r="B14">
        <v>12</v>
      </c>
      <c r="C14">
        <v>31</v>
      </c>
      <c r="D14">
        <v>2011</v>
      </c>
      <c r="E14">
        <v>0.29370000000000002</v>
      </c>
      <c r="F14">
        <v>1.4177466994267E-2</v>
      </c>
      <c r="G14">
        <v>0</v>
      </c>
      <c r="H14">
        <v>0</v>
      </c>
      <c r="I14" s="11">
        <f t="shared" si="0"/>
        <v>0.30787746699426699</v>
      </c>
    </row>
    <row r="15" spans="1:9" x14ac:dyDescent="0.3">
      <c r="A15">
        <v>2011</v>
      </c>
      <c r="B15">
        <v>1</v>
      </c>
      <c r="C15">
        <v>31</v>
      </c>
      <c r="D15">
        <v>2011.085</v>
      </c>
      <c r="E15">
        <v>0.29370000000000002</v>
      </c>
      <c r="F15">
        <v>1.7737742298752999E-2</v>
      </c>
      <c r="G15">
        <v>0</v>
      </c>
      <c r="H15">
        <v>0</v>
      </c>
      <c r="I15" s="11">
        <f t="shared" si="0"/>
        <v>0.31143774229875304</v>
      </c>
    </row>
    <row r="16" spans="1:9" x14ac:dyDescent="0.3">
      <c r="A16">
        <v>2011</v>
      </c>
      <c r="B16">
        <v>2</v>
      </c>
      <c r="C16">
        <v>28</v>
      </c>
      <c r="D16">
        <v>2011.162</v>
      </c>
      <c r="E16">
        <v>0.29370050299421502</v>
      </c>
      <c r="F16">
        <v>2.0673934354882999E-2</v>
      </c>
      <c r="G16">
        <v>0</v>
      </c>
      <c r="H16">
        <v>0</v>
      </c>
      <c r="I16" s="11">
        <f t="shared" si="0"/>
        <v>0.31437443734909803</v>
      </c>
    </row>
    <row r="17" spans="1:10" x14ac:dyDescent="0.3">
      <c r="A17">
        <v>2011</v>
      </c>
      <c r="B17">
        <v>3</v>
      </c>
      <c r="C17">
        <v>31</v>
      </c>
      <c r="D17">
        <v>2011.2470000000001</v>
      </c>
      <c r="E17">
        <v>0.29370279466587901</v>
      </c>
      <c r="F17">
        <v>2.3911576117224002E-2</v>
      </c>
      <c r="G17">
        <v>0</v>
      </c>
      <c r="H17">
        <v>0</v>
      </c>
      <c r="I17" s="11">
        <f t="shared" si="0"/>
        <v>0.31761437078310301</v>
      </c>
    </row>
    <row r="18" spans="1:10" x14ac:dyDescent="0.3">
      <c r="A18">
        <v>2011</v>
      </c>
      <c r="B18">
        <v>4</v>
      </c>
      <c r="C18">
        <v>30</v>
      </c>
      <c r="D18">
        <v>2011.329</v>
      </c>
      <c r="E18">
        <v>0.29371013290037601</v>
      </c>
      <c r="F18">
        <v>2.7229564841020001E-2</v>
      </c>
      <c r="G18">
        <v>0</v>
      </c>
      <c r="H18">
        <v>0</v>
      </c>
      <c r="I18" s="11">
        <f t="shared" si="0"/>
        <v>0.32093969774139602</v>
      </c>
    </row>
    <row r="19" spans="1:10" x14ac:dyDescent="0.3">
      <c r="A19">
        <v>2011</v>
      </c>
      <c r="B19">
        <v>5</v>
      </c>
      <c r="C19">
        <v>31</v>
      </c>
      <c r="D19">
        <v>2011.414</v>
      </c>
      <c r="E19">
        <v>0.29373102188611899</v>
      </c>
      <c r="F19">
        <v>3.028486941584E-2</v>
      </c>
      <c r="G19">
        <v>0</v>
      </c>
      <c r="H19">
        <v>0</v>
      </c>
      <c r="I19" s="11">
        <f t="shared" si="0"/>
        <v>0.32401589130195901</v>
      </c>
    </row>
    <row r="20" spans="1:10" x14ac:dyDescent="0.3">
      <c r="A20">
        <v>2011</v>
      </c>
      <c r="B20">
        <v>6</v>
      </c>
      <c r="C20">
        <v>30</v>
      </c>
      <c r="D20">
        <v>2011.4960000000001</v>
      </c>
      <c r="E20">
        <v>0.29377931116845402</v>
      </c>
      <c r="F20">
        <v>3.3778267840071999E-2</v>
      </c>
      <c r="G20">
        <v>0</v>
      </c>
      <c r="H20">
        <v>0</v>
      </c>
      <c r="I20" s="86">
        <f t="shared" si="0"/>
        <v>0.327557579008526</v>
      </c>
    </row>
    <row r="21" spans="1:10" x14ac:dyDescent="0.3">
      <c r="A21">
        <v>2011</v>
      </c>
      <c r="B21">
        <v>7</v>
      </c>
      <c r="C21">
        <v>31</v>
      </c>
      <c r="D21">
        <v>2011.5809999999999</v>
      </c>
      <c r="E21">
        <v>0.293886089330895</v>
      </c>
      <c r="F21">
        <v>3.7048600516072998E-2</v>
      </c>
      <c r="G21">
        <v>0</v>
      </c>
      <c r="H21">
        <v>0</v>
      </c>
      <c r="I21" s="11">
        <f t="shared" si="0"/>
        <v>0.330934689846968</v>
      </c>
    </row>
    <row r="22" spans="1:10" x14ac:dyDescent="0.3">
      <c r="A22">
        <v>2011</v>
      </c>
      <c r="B22">
        <v>8</v>
      </c>
      <c r="C22">
        <v>31</v>
      </c>
      <c r="D22">
        <v>2011.6659999999999</v>
      </c>
      <c r="E22">
        <v>0.29409603069921397</v>
      </c>
      <c r="F22">
        <v>3.9775651589429001E-2</v>
      </c>
      <c r="G22">
        <v>0</v>
      </c>
      <c r="H22">
        <v>0</v>
      </c>
      <c r="I22" s="11">
        <f t="shared" si="0"/>
        <v>0.33387168228864295</v>
      </c>
    </row>
    <row r="23" spans="1:10" x14ac:dyDescent="0.3">
      <c r="A23">
        <v>2011</v>
      </c>
      <c r="B23">
        <v>9</v>
      </c>
      <c r="C23">
        <v>30</v>
      </c>
      <c r="D23">
        <v>2011.748</v>
      </c>
      <c r="E23">
        <v>0.29446107907373098</v>
      </c>
      <c r="F23">
        <v>4.2700523592829998E-2</v>
      </c>
      <c r="G23">
        <v>0</v>
      </c>
      <c r="H23">
        <v>0</v>
      </c>
      <c r="I23" s="11">
        <f t="shared" si="0"/>
        <v>0.33716160266656098</v>
      </c>
    </row>
    <row r="24" spans="1:10" x14ac:dyDescent="0.3">
      <c r="A24">
        <v>2011</v>
      </c>
      <c r="B24">
        <v>10</v>
      </c>
      <c r="C24">
        <v>31</v>
      </c>
      <c r="D24">
        <v>2011.8330000000001</v>
      </c>
      <c r="E24">
        <v>0.29509663762869598</v>
      </c>
      <c r="F24">
        <v>4.5463206871759997E-2</v>
      </c>
      <c r="G24">
        <v>0</v>
      </c>
      <c r="H24">
        <v>0</v>
      </c>
      <c r="I24" s="11">
        <f t="shared" si="0"/>
        <v>0.34055984450045595</v>
      </c>
    </row>
    <row r="25" spans="1:10" s="35" customFormat="1" x14ac:dyDescent="0.3">
      <c r="A25">
        <v>2011</v>
      </c>
      <c r="B25">
        <v>11</v>
      </c>
      <c r="C25">
        <v>30</v>
      </c>
      <c r="D25">
        <v>2011.915</v>
      </c>
      <c r="E25">
        <v>0.29607565232104699</v>
      </c>
      <c r="F25">
        <v>4.7894309624787003E-2</v>
      </c>
      <c r="G25">
        <v>0</v>
      </c>
      <c r="H25">
        <v>0</v>
      </c>
      <c r="I25" s="86">
        <f t="shared" si="0"/>
        <v>0.34396996194583401</v>
      </c>
      <c r="J25" s="86"/>
    </row>
    <row r="26" spans="1:10" x14ac:dyDescent="0.3">
      <c r="A26">
        <v>2011</v>
      </c>
      <c r="B26">
        <v>12</v>
      </c>
      <c r="C26">
        <v>31</v>
      </c>
      <c r="D26">
        <v>2012</v>
      </c>
      <c r="E26">
        <v>0.29761197982586701</v>
      </c>
      <c r="F26">
        <v>5.0401481542302999E-2</v>
      </c>
      <c r="G26">
        <v>0</v>
      </c>
      <c r="H26">
        <v>0</v>
      </c>
      <c r="I26" s="11">
        <f t="shared" si="0"/>
        <v>0.34801346136817002</v>
      </c>
    </row>
    <row r="27" spans="1:10" x14ac:dyDescent="0.3">
      <c r="A27">
        <v>2012</v>
      </c>
      <c r="B27">
        <v>1</v>
      </c>
      <c r="C27">
        <v>31</v>
      </c>
      <c r="D27">
        <v>2012.085</v>
      </c>
      <c r="E27">
        <v>0.29894942925069401</v>
      </c>
      <c r="F27">
        <v>5.297010935918E-2</v>
      </c>
      <c r="G27">
        <v>0</v>
      </c>
      <c r="H27">
        <v>0</v>
      </c>
      <c r="I27" s="11">
        <f t="shared" si="0"/>
        <v>0.35191953860987402</v>
      </c>
    </row>
    <row r="28" spans="1:10" x14ac:dyDescent="0.3">
      <c r="A28">
        <v>2012</v>
      </c>
      <c r="B28">
        <v>2</v>
      </c>
      <c r="C28">
        <v>29</v>
      </c>
      <c r="D28">
        <v>2012.164</v>
      </c>
      <c r="E28">
        <v>0.30069685632386101</v>
      </c>
      <c r="F28">
        <v>5.5238224307804999E-2</v>
      </c>
      <c r="G28">
        <v>0</v>
      </c>
      <c r="H28">
        <v>0</v>
      </c>
      <c r="I28" s="11">
        <f t="shared" si="0"/>
        <v>0.35593508063166601</v>
      </c>
    </row>
    <row r="29" spans="1:10" x14ac:dyDescent="0.3">
      <c r="A29">
        <v>2012</v>
      </c>
      <c r="B29">
        <v>3</v>
      </c>
      <c r="C29">
        <v>31</v>
      </c>
      <c r="D29">
        <v>2012.249</v>
      </c>
      <c r="E29">
        <v>0.30286869111757603</v>
      </c>
      <c r="F29">
        <v>5.7621063368438002E-2</v>
      </c>
      <c r="G29">
        <v>0</v>
      </c>
      <c r="H29">
        <v>0</v>
      </c>
      <c r="I29" s="11">
        <f t="shared" si="0"/>
        <v>0.36048975448601406</v>
      </c>
    </row>
    <row r="30" spans="1:10" x14ac:dyDescent="0.3">
      <c r="A30">
        <v>2012</v>
      </c>
      <c r="B30">
        <v>4</v>
      </c>
      <c r="C30">
        <v>30</v>
      </c>
      <c r="D30">
        <v>2012.3309999999999</v>
      </c>
      <c r="E30">
        <v>0.30561221242915498</v>
      </c>
      <c r="F30">
        <v>6.1242945757207998E-2</v>
      </c>
      <c r="G30">
        <v>0</v>
      </c>
      <c r="H30">
        <v>0</v>
      </c>
      <c r="I30" s="11">
        <f t="shared" si="0"/>
        <v>0.366855158186363</v>
      </c>
    </row>
    <row r="31" spans="1:10" x14ac:dyDescent="0.3">
      <c r="A31">
        <v>2012</v>
      </c>
      <c r="B31">
        <v>5</v>
      </c>
      <c r="C31">
        <v>31</v>
      </c>
      <c r="D31">
        <v>2012.415</v>
      </c>
      <c r="E31">
        <v>0.309280883175786</v>
      </c>
      <c r="F31">
        <v>6.3822872285138998E-2</v>
      </c>
      <c r="G31">
        <v>0</v>
      </c>
      <c r="H31">
        <v>0</v>
      </c>
      <c r="I31" s="11">
        <f t="shared" si="0"/>
        <v>0.373103755460925</v>
      </c>
    </row>
    <row r="32" spans="1:10" x14ac:dyDescent="0.3">
      <c r="A32">
        <v>2012</v>
      </c>
      <c r="B32">
        <v>6</v>
      </c>
      <c r="C32">
        <v>30</v>
      </c>
      <c r="D32">
        <v>2012.4970000000001</v>
      </c>
      <c r="E32">
        <v>0.31377638211891301</v>
      </c>
      <c r="F32">
        <v>6.6200016312213006E-2</v>
      </c>
      <c r="G32">
        <v>0</v>
      </c>
      <c r="H32">
        <v>0</v>
      </c>
      <c r="I32" s="86">
        <f t="shared" si="0"/>
        <v>0.37997639843112602</v>
      </c>
    </row>
    <row r="33" spans="1:9" x14ac:dyDescent="0.3">
      <c r="A33">
        <v>2012</v>
      </c>
      <c r="B33">
        <v>7</v>
      </c>
      <c r="C33">
        <v>31</v>
      </c>
      <c r="D33">
        <v>2012.5820000000001</v>
      </c>
      <c r="E33">
        <v>0.31954771743209298</v>
      </c>
      <c r="F33">
        <v>6.8924895771610997E-2</v>
      </c>
      <c r="G33">
        <v>0</v>
      </c>
      <c r="H33">
        <v>0</v>
      </c>
      <c r="I33" s="11">
        <f t="shared" si="0"/>
        <v>0.38847261320370396</v>
      </c>
    </row>
    <row r="34" spans="1:9" x14ac:dyDescent="0.3">
      <c r="A34">
        <v>2012</v>
      </c>
      <c r="B34">
        <v>8</v>
      </c>
      <c r="C34">
        <v>31</v>
      </c>
      <c r="D34">
        <v>2012.6669999999999</v>
      </c>
      <c r="E34">
        <v>0.326617713084074</v>
      </c>
      <c r="F34">
        <v>7.1952257236484005E-2</v>
      </c>
      <c r="G34">
        <v>0</v>
      </c>
      <c r="H34">
        <v>0</v>
      </c>
      <c r="I34" s="11">
        <f t="shared" si="0"/>
        <v>0.39856997032055802</v>
      </c>
    </row>
    <row r="35" spans="1:9" x14ac:dyDescent="0.3">
      <c r="A35">
        <v>2012</v>
      </c>
      <c r="B35">
        <v>9</v>
      </c>
      <c r="C35">
        <v>30</v>
      </c>
      <c r="D35">
        <v>2012.749</v>
      </c>
      <c r="E35">
        <v>0.33484310933702699</v>
      </c>
      <c r="F35">
        <v>7.4570435216495007E-2</v>
      </c>
      <c r="G35">
        <v>0</v>
      </c>
      <c r="H35">
        <v>0</v>
      </c>
      <c r="I35" s="11">
        <f t="shared" si="0"/>
        <v>0.40941354455352197</v>
      </c>
    </row>
    <row r="36" spans="1:9" x14ac:dyDescent="0.3">
      <c r="A36">
        <v>2012</v>
      </c>
      <c r="B36">
        <v>10</v>
      </c>
      <c r="C36">
        <v>31</v>
      </c>
      <c r="D36">
        <v>2012.8330000000001</v>
      </c>
      <c r="E36">
        <v>0.34492215589398301</v>
      </c>
      <c r="F36">
        <v>7.8329399089935997E-2</v>
      </c>
      <c r="G36">
        <v>0</v>
      </c>
      <c r="H36">
        <v>0</v>
      </c>
      <c r="I36" s="11">
        <f t="shared" si="0"/>
        <v>0.42325155498391898</v>
      </c>
    </row>
    <row r="37" spans="1:9" x14ac:dyDescent="0.3">
      <c r="A37">
        <v>2012</v>
      </c>
      <c r="B37">
        <v>11</v>
      </c>
      <c r="C37">
        <v>30</v>
      </c>
      <c r="D37">
        <v>2012.915</v>
      </c>
      <c r="E37">
        <v>0.356344383005614</v>
      </c>
      <c r="F37">
        <v>8.1747132098203001E-2</v>
      </c>
      <c r="G37">
        <v>0</v>
      </c>
      <c r="H37">
        <v>0</v>
      </c>
      <c r="I37" s="11">
        <f t="shared" si="0"/>
        <v>0.438091515103817</v>
      </c>
    </row>
    <row r="38" spans="1:9" x14ac:dyDescent="0.3">
      <c r="A38">
        <v>2012</v>
      </c>
      <c r="B38">
        <v>12</v>
      </c>
      <c r="C38">
        <v>31</v>
      </c>
      <c r="D38">
        <v>2013</v>
      </c>
      <c r="E38">
        <v>0.37005707954589701</v>
      </c>
      <c r="F38">
        <v>8.5277318987630996E-2</v>
      </c>
      <c r="G38">
        <v>0</v>
      </c>
      <c r="H38">
        <v>0</v>
      </c>
      <c r="I38" s="11">
        <f t="shared" si="0"/>
        <v>0.45533439853352797</v>
      </c>
    </row>
    <row r="39" spans="1:9" x14ac:dyDescent="0.3">
      <c r="A39">
        <v>2013</v>
      </c>
      <c r="B39">
        <v>1</v>
      </c>
      <c r="C39">
        <v>31</v>
      </c>
      <c r="D39">
        <v>2013.085</v>
      </c>
      <c r="E39">
        <v>0.38726149142045901</v>
      </c>
      <c r="F39">
        <v>8.8825740948705004E-2</v>
      </c>
      <c r="G39">
        <v>0</v>
      </c>
      <c r="H39">
        <v>0</v>
      </c>
      <c r="I39" s="11">
        <f t="shared" si="0"/>
        <v>0.476087232369164</v>
      </c>
    </row>
    <row r="40" spans="1:9" x14ac:dyDescent="0.3">
      <c r="A40">
        <v>2013</v>
      </c>
      <c r="B40">
        <v>2</v>
      </c>
      <c r="C40">
        <v>28</v>
      </c>
      <c r="D40">
        <v>2013.162</v>
      </c>
      <c r="E40">
        <v>0.40483161094666498</v>
      </c>
      <c r="F40">
        <v>9.1722313068208994E-2</v>
      </c>
      <c r="G40">
        <v>0</v>
      </c>
      <c r="H40">
        <v>0</v>
      </c>
      <c r="I40" s="11">
        <f t="shared" si="0"/>
        <v>0.49655392401487397</v>
      </c>
    </row>
    <row r="41" spans="1:9" x14ac:dyDescent="0.3">
      <c r="A41">
        <v>2013</v>
      </c>
      <c r="B41">
        <v>3</v>
      </c>
      <c r="C41">
        <v>31</v>
      </c>
      <c r="D41">
        <v>2013.2470000000001</v>
      </c>
      <c r="E41">
        <v>0.425198335830273</v>
      </c>
      <c r="F41">
        <v>9.5067464285969003E-2</v>
      </c>
      <c r="G41">
        <v>0</v>
      </c>
      <c r="H41">
        <v>0</v>
      </c>
      <c r="I41" s="11">
        <f t="shared" si="0"/>
        <v>0.52026580011624202</v>
      </c>
    </row>
    <row r="42" spans="1:9" x14ac:dyDescent="0.3">
      <c r="A42">
        <v>2013</v>
      </c>
      <c r="B42">
        <v>4</v>
      </c>
      <c r="C42">
        <v>30</v>
      </c>
      <c r="D42">
        <v>2013.329</v>
      </c>
      <c r="E42">
        <v>0.44706442754303899</v>
      </c>
      <c r="F42">
        <v>0.104845091813658</v>
      </c>
      <c r="G42">
        <v>0</v>
      </c>
      <c r="H42">
        <v>0</v>
      </c>
      <c r="I42" s="11">
        <f t="shared" si="0"/>
        <v>0.55190951935669696</v>
      </c>
    </row>
    <row r="43" spans="1:9" x14ac:dyDescent="0.3">
      <c r="A43">
        <v>2013</v>
      </c>
      <c r="B43">
        <v>5</v>
      </c>
      <c r="C43">
        <v>31</v>
      </c>
      <c r="D43">
        <v>2013.414</v>
      </c>
      <c r="E43">
        <v>0.47213338897770601</v>
      </c>
      <c r="F43">
        <v>0.10547670354416699</v>
      </c>
      <c r="G43">
        <v>0</v>
      </c>
      <c r="H43">
        <v>0</v>
      </c>
      <c r="I43" s="11">
        <f t="shared" si="0"/>
        <v>0.57761009252187301</v>
      </c>
    </row>
    <row r="44" spans="1:9" x14ac:dyDescent="0.3">
      <c r="A44">
        <v>2013</v>
      </c>
      <c r="B44">
        <v>6</v>
      </c>
      <c r="C44">
        <v>30</v>
      </c>
      <c r="D44">
        <v>2013.4960000000001</v>
      </c>
      <c r="E44">
        <v>0.49887237444715798</v>
      </c>
      <c r="F44">
        <v>0.108833669574356</v>
      </c>
      <c r="G44">
        <v>0</v>
      </c>
      <c r="H44">
        <v>0</v>
      </c>
      <c r="I44" s="86">
        <f t="shared" si="0"/>
        <v>0.60770604402151396</v>
      </c>
    </row>
    <row r="45" spans="1:9" x14ac:dyDescent="0.3">
      <c r="A45">
        <v>2013</v>
      </c>
      <c r="B45">
        <v>7</v>
      </c>
      <c r="C45">
        <v>31</v>
      </c>
      <c r="D45">
        <v>2013.5809999999999</v>
      </c>
      <c r="E45">
        <v>0.529141577601004</v>
      </c>
      <c r="F45">
        <v>0.113660324500726</v>
      </c>
      <c r="G45">
        <v>0</v>
      </c>
      <c r="H45">
        <v>0</v>
      </c>
      <c r="I45" s="11">
        <f t="shared" si="0"/>
        <v>0.64280190210172994</v>
      </c>
    </row>
    <row r="46" spans="1:9" x14ac:dyDescent="0.3">
      <c r="A46">
        <v>2013</v>
      </c>
      <c r="B46">
        <v>8</v>
      </c>
      <c r="C46">
        <v>31</v>
      </c>
      <c r="D46">
        <v>2013.6659999999999</v>
      </c>
      <c r="E46">
        <v>0.56216089379203005</v>
      </c>
      <c r="F46">
        <v>0.118877545309814</v>
      </c>
      <c r="G46">
        <v>0</v>
      </c>
      <c r="H46">
        <v>0</v>
      </c>
      <c r="I46" s="11">
        <f t="shared" si="0"/>
        <v>0.68103843910184403</v>
      </c>
    </row>
    <row r="47" spans="1:9" x14ac:dyDescent="0.3">
      <c r="A47">
        <v>2013</v>
      </c>
      <c r="B47">
        <v>9</v>
      </c>
      <c r="C47">
        <v>30</v>
      </c>
      <c r="D47">
        <v>2013.748</v>
      </c>
      <c r="E47">
        <v>0.59678804242101702</v>
      </c>
      <c r="F47">
        <v>0.12433744119062599</v>
      </c>
      <c r="G47">
        <v>0</v>
      </c>
      <c r="H47">
        <v>0</v>
      </c>
      <c r="I47" s="11">
        <f t="shared" si="0"/>
        <v>0.72112548361164297</v>
      </c>
    </row>
    <row r="48" spans="1:9" x14ac:dyDescent="0.3">
      <c r="A48">
        <v>2013</v>
      </c>
      <c r="B48">
        <v>10</v>
      </c>
      <c r="C48">
        <v>31</v>
      </c>
      <c r="D48">
        <v>2013.8330000000001</v>
      </c>
      <c r="E48">
        <v>0.63537745659266698</v>
      </c>
      <c r="F48">
        <v>0.13097448370772199</v>
      </c>
      <c r="G48">
        <v>0</v>
      </c>
      <c r="H48">
        <v>0</v>
      </c>
      <c r="I48" s="11">
        <f t="shared" si="0"/>
        <v>0.766351940300389</v>
      </c>
    </row>
    <row r="49" spans="1:9" x14ac:dyDescent="0.3">
      <c r="A49">
        <v>2013</v>
      </c>
      <c r="B49">
        <v>11</v>
      </c>
      <c r="C49">
        <v>30</v>
      </c>
      <c r="D49">
        <v>2013.915</v>
      </c>
      <c r="E49">
        <v>0.67547397424453104</v>
      </c>
      <c r="F49">
        <v>0.13645027318255601</v>
      </c>
      <c r="G49">
        <v>0</v>
      </c>
      <c r="H49">
        <v>0</v>
      </c>
      <c r="I49" s="11">
        <f t="shared" si="0"/>
        <v>0.81192424742708702</v>
      </c>
    </row>
    <row r="50" spans="1:9" x14ac:dyDescent="0.3">
      <c r="A50">
        <v>2013</v>
      </c>
      <c r="B50">
        <v>12</v>
      </c>
      <c r="C50">
        <v>31</v>
      </c>
      <c r="D50">
        <v>2014</v>
      </c>
      <c r="E50">
        <v>0.71989513775038905</v>
      </c>
      <c r="F50">
        <v>0.143414478572197</v>
      </c>
      <c r="G50">
        <v>0</v>
      </c>
      <c r="H50">
        <v>0</v>
      </c>
      <c r="I50" s="11">
        <f t="shared" si="0"/>
        <v>0.86330961632258607</v>
      </c>
    </row>
    <row r="51" spans="1:9" x14ac:dyDescent="0.3">
      <c r="A51">
        <v>2014</v>
      </c>
      <c r="B51">
        <v>1</v>
      </c>
      <c r="C51">
        <v>31</v>
      </c>
      <c r="D51">
        <v>2014.085</v>
      </c>
      <c r="E51">
        <v>0.77091116201751497</v>
      </c>
      <c r="F51">
        <v>0.150989928916474</v>
      </c>
      <c r="G51">
        <v>0</v>
      </c>
      <c r="H51">
        <v>0</v>
      </c>
      <c r="I51" s="11">
        <f t="shared" si="0"/>
        <v>0.92190109093398898</v>
      </c>
    </row>
    <row r="52" spans="1:9" x14ac:dyDescent="0.3">
      <c r="A52">
        <v>2014</v>
      </c>
      <c r="B52">
        <v>2</v>
      </c>
      <c r="C52">
        <v>28</v>
      </c>
      <c r="D52">
        <v>2014.162</v>
      </c>
      <c r="E52">
        <v>0.81972261688972003</v>
      </c>
      <c r="F52">
        <v>0.15743060217472199</v>
      </c>
      <c r="G52">
        <v>0</v>
      </c>
      <c r="H52">
        <v>0</v>
      </c>
      <c r="I52" s="11">
        <f t="shared" si="0"/>
        <v>0.97715321906444208</v>
      </c>
    </row>
    <row r="53" spans="1:9" x14ac:dyDescent="0.3">
      <c r="A53">
        <v>2014</v>
      </c>
      <c r="B53">
        <v>3</v>
      </c>
      <c r="C53">
        <v>31</v>
      </c>
      <c r="D53">
        <v>2014.2470000000001</v>
      </c>
      <c r="E53">
        <v>0.87469270046840697</v>
      </c>
      <c r="F53">
        <v>0.16458758030023099</v>
      </c>
      <c r="G53">
        <v>0</v>
      </c>
      <c r="H53">
        <v>0</v>
      </c>
      <c r="I53" s="11">
        <f t="shared" si="0"/>
        <v>1.0392802807686379</v>
      </c>
    </row>
    <row r="54" spans="1:9" x14ac:dyDescent="0.3">
      <c r="A54">
        <v>2014</v>
      </c>
      <c r="B54">
        <v>4</v>
      </c>
      <c r="C54">
        <v>30</v>
      </c>
      <c r="D54">
        <v>2014.329</v>
      </c>
      <c r="E54">
        <v>0.93057666181647702</v>
      </c>
      <c r="F54">
        <v>0.172827891161104</v>
      </c>
      <c r="G54">
        <v>0</v>
      </c>
      <c r="H54">
        <v>0</v>
      </c>
      <c r="I54" s="11">
        <f t="shared" si="0"/>
        <v>1.1034045529775811</v>
      </c>
    </row>
    <row r="55" spans="1:9" x14ac:dyDescent="0.3">
      <c r="A55">
        <v>2014</v>
      </c>
      <c r="B55">
        <v>5</v>
      </c>
      <c r="C55">
        <v>31</v>
      </c>
      <c r="D55">
        <v>2014.414</v>
      </c>
      <c r="E55">
        <v>0.99130460048789004</v>
      </c>
      <c r="F55">
        <v>0.18203658289182501</v>
      </c>
      <c r="G55">
        <v>0</v>
      </c>
      <c r="H55">
        <v>0</v>
      </c>
      <c r="I55" s="11">
        <f t="shared" si="0"/>
        <v>1.1733411833797152</v>
      </c>
    </row>
    <row r="56" spans="1:9" x14ac:dyDescent="0.3">
      <c r="A56">
        <v>2014</v>
      </c>
      <c r="B56">
        <v>6</v>
      </c>
      <c r="C56">
        <v>30</v>
      </c>
      <c r="D56">
        <v>2014.4960000000001</v>
      </c>
      <c r="E56">
        <v>1.05293877796409</v>
      </c>
      <c r="F56">
        <v>0.19065487223267899</v>
      </c>
      <c r="G56">
        <v>0</v>
      </c>
      <c r="H56">
        <v>0</v>
      </c>
      <c r="I56" s="86">
        <f t="shared" si="0"/>
        <v>1.243593650196769</v>
      </c>
    </row>
    <row r="57" spans="1:9" x14ac:dyDescent="0.3">
      <c r="A57">
        <v>2014</v>
      </c>
      <c r="B57">
        <v>7</v>
      </c>
      <c r="C57">
        <v>31</v>
      </c>
      <c r="D57">
        <v>2014.5809999999999</v>
      </c>
      <c r="E57">
        <v>1.1195612722908399</v>
      </c>
      <c r="F57">
        <v>0.201244992101447</v>
      </c>
      <c r="G57">
        <v>0</v>
      </c>
      <c r="H57">
        <v>0</v>
      </c>
      <c r="I57" s="11">
        <f t="shared" si="0"/>
        <v>1.3208062643922869</v>
      </c>
    </row>
    <row r="58" spans="1:9" x14ac:dyDescent="0.3">
      <c r="A58">
        <v>2014</v>
      </c>
      <c r="B58">
        <v>8</v>
      </c>
      <c r="C58">
        <v>31</v>
      </c>
      <c r="D58">
        <v>2014.6659999999999</v>
      </c>
      <c r="E58">
        <v>1.1891326253002099</v>
      </c>
      <c r="F58">
        <v>0.21394654139195701</v>
      </c>
      <c r="G58">
        <v>0</v>
      </c>
      <c r="H58">
        <v>0</v>
      </c>
      <c r="I58" s="11">
        <f t="shared" si="0"/>
        <v>1.4030791666921669</v>
      </c>
    </row>
    <row r="59" spans="1:9" x14ac:dyDescent="0.3">
      <c r="A59">
        <v>2014</v>
      </c>
      <c r="B59">
        <v>9</v>
      </c>
      <c r="C59">
        <v>30</v>
      </c>
      <c r="D59">
        <v>2014.748</v>
      </c>
      <c r="E59">
        <v>1.25923100419816</v>
      </c>
      <c r="F59">
        <v>0.22519951011579201</v>
      </c>
      <c r="G59">
        <v>0</v>
      </c>
      <c r="H59">
        <v>0</v>
      </c>
      <c r="I59" s="11">
        <f t="shared" si="0"/>
        <v>1.484430514313952</v>
      </c>
    </row>
    <row r="60" spans="1:9" x14ac:dyDescent="0.3">
      <c r="A60">
        <v>2014</v>
      </c>
      <c r="B60">
        <v>10</v>
      </c>
      <c r="C60">
        <v>31</v>
      </c>
      <c r="D60">
        <v>2014.8330000000001</v>
      </c>
      <c r="E60">
        <v>1.3344873335726499</v>
      </c>
      <c r="F60">
        <v>0.23716255148096599</v>
      </c>
      <c r="G60">
        <v>0</v>
      </c>
      <c r="H60">
        <v>0</v>
      </c>
      <c r="I60" s="11">
        <f t="shared" si="0"/>
        <v>1.571649885053616</v>
      </c>
    </row>
    <row r="61" spans="1:9" x14ac:dyDescent="0.3">
      <c r="A61">
        <v>2014</v>
      </c>
      <c r="B61">
        <v>11</v>
      </c>
      <c r="C61">
        <v>30</v>
      </c>
      <c r="D61">
        <v>2014.915</v>
      </c>
      <c r="E61">
        <v>1.4100019300428499</v>
      </c>
      <c r="F61">
        <v>0.251290457284089</v>
      </c>
      <c r="G61">
        <v>0</v>
      </c>
      <c r="H61">
        <v>0</v>
      </c>
      <c r="I61" s="11">
        <f t="shared" si="0"/>
        <v>1.661292387326939</v>
      </c>
    </row>
    <row r="62" spans="1:9" x14ac:dyDescent="0.3">
      <c r="A62">
        <v>2014</v>
      </c>
      <c r="B62">
        <v>12</v>
      </c>
      <c r="C62">
        <v>31</v>
      </c>
      <c r="D62">
        <v>2015</v>
      </c>
      <c r="E62">
        <v>1.4911624229968501</v>
      </c>
      <c r="F62">
        <v>0.263265485193385</v>
      </c>
      <c r="G62">
        <v>0</v>
      </c>
      <c r="H62">
        <v>0</v>
      </c>
      <c r="I62" s="11">
        <f t="shared" si="0"/>
        <v>1.7544279081902352</v>
      </c>
    </row>
    <row r="63" spans="1:9" x14ac:dyDescent="0.3">
      <c r="A63">
        <v>2015</v>
      </c>
      <c r="B63">
        <v>1</v>
      </c>
      <c r="C63">
        <v>31</v>
      </c>
      <c r="D63">
        <v>2015.085</v>
      </c>
      <c r="E63">
        <v>1.58735304349563</v>
      </c>
      <c r="F63">
        <v>0.27658485658465998</v>
      </c>
      <c r="G63">
        <v>0</v>
      </c>
      <c r="H63">
        <v>0</v>
      </c>
      <c r="I63" s="11">
        <f t="shared" si="0"/>
        <v>1.86393790008029</v>
      </c>
    </row>
    <row r="64" spans="1:9" x14ac:dyDescent="0.3">
      <c r="A64">
        <v>2015</v>
      </c>
      <c r="B64">
        <v>2</v>
      </c>
      <c r="C64">
        <v>28</v>
      </c>
      <c r="D64">
        <v>2015.162</v>
      </c>
      <c r="E64">
        <v>1.6768695758457901</v>
      </c>
      <c r="F64">
        <v>0.28943859661584598</v>
      </c>
      <c r="G64">
        <v>0</v>
      </c>
      <c r="H64">
        <v>0</v>
      </c>
      <c r="I64" s="11">
        <f t="shared" si="0"/>
        <v>1.966308172461636</v>
      </c>
    </row>
    <row r="65" spans="1:10" x14ac:dyDescent="0.3">
      <c r="A65">
        <v>2015</v>
      </c>
      <c r="B65">
        <v>3</v>
      </c>
      <c r="C65">
        <v>31</v>
      </c>
      <c r="D65">
        <v>2015.2470000000001</v>
      </c>
      <c r="E65">
        <v>1.7766315095437399</v>
      </c>
      <c r="F65">
        <v>0.30516091992509597</v>
      </c>
      <c r="G65">
        <v>0</v>
      </c>
      <c r="H65">
        <v>0</v>
      </c>
      <c r="I65" s="11">
        <f t="shared" si="0"/>
        <v>2.0817924294688357</v>
      </c>
    </row>
    <row r="66" spans="1:10" x14ac:dyDescent="0.3">
      <c r="A66">
        <v>2015</v>
      </c>
      <c r="B66">
        <v>4</v>
      </c>
      <c r="C66">
        <v>30</v>
      </c>
      <c r="D66">
        <v>2015.329</v>
      </c>
      <c r="E66">
        <v>1.8755850906788201</v>
      </c>
      <c r="F66">
        <v>0.32162650442570501</v>
      </c>
      <c r="G66">
        <v>0</v>
      </c>
      <c r="H66">
        <v>0</v>
      </c>
      <c r="I66" s="11">
        <f t="shared" si="0"/>
        <v>2.197211595104525</v>
      </c>
    </row>
    <row r="67" spans="1:10" x14ac:dyDescent="0.3">
      <c r="A67">
        <v>2015</v>
      </c>
      <c r="B67">
        <v>5</v>
      </c>
      <c r="C67">
        <v>31</v>
      </c>
      <c r="D67">
        <v>2015.414</v>
      </c>
      <c r="E67">
        <v>1.9805782172059001</v>
      </c>
      <c r="F67">
        <v>0.33881328685819101</v>
      </c>
      <c r="G67">
        <v>0</v>
      </c>
      <c r="H67">
        <v>0</v>
      </c>
      <c r="I67" s="11">
        <f t="shared" si="0"/>
        <v>2.3193915040640913</v>
      </c>
    </row>
    <row r="68" spans="1:10" x14ac:dyDescent="0.3">
      <c r="A68">
        <v>2015</v>
      </c>
      <c r="B68">
        <v>6</v>
      </c>
      <c r="C68">
        <v>30</v>
      </c>
      <c r="D68">
        <v>2015.4960000000001</v>
      </c>
      <c r="E68">
        <v>2.0847685658061499</v>
      </c>
      <c r="F68">
        <v>0.35600819722570698</v>
      </c>
      <c r="G68">
        <v>0</v>
      </c>
      <c r="H68">
        <v>0</v>
      </c>
      <c r="I68" s="86">
        <f t="shared" si="0"/>
        <v>2.4407767630318569</v>
      </c>
    </row>
    <row r="69" spans="1:10" x14ac:dyDescent="0.3">
      <c r="A69">
        <v>2015</v>
      </c>
      <c r="B69">
        <v>7</v>
      </c>
      <c r="C69">
        <v>31</v>
      </c>
      <c r="D69">
        <v>2015.5809999999999</v>
      </c>
      <c r="E69">
        <v>2.1950292250781498</v>
      </c>
      <c r="F69">
        <v>0.37405220597623701</v>
      </c>
      <c r="G69">
        <v>0</v>
      </c>
      <c r="H69">
        <v>0</v>
      </c>
      <c r="I69" s="11">
        <f t="shared" si="0"/>
        <v>2.5690814310543866</v>
      </c>
    </row>
    <row r="70" spans="1:10" x14ac:dyDescent="0.3">
      <c r="A70">
        <v>2015</v>
      </c>
      <c r="B70">
        <v>8</v>
      </c>
      <c r="C70">
        <v>31</v>
      </c>
      <c r="D70">
        <v>2015.6659999999999</v>
      </c>
      <c r="E70">
        <v>2.3078546101303199</v>
      </c>
      <c r="F70">
        <v>0.39309868502836098</v>
      </c>
      <c r="G70">
        <v>0</v>
      </c>
      <c r="H70">
        <v>0</v>
      </c>
      <c r="I70" s="11">
        <f t="shared" si="0"/>
        <v>2.7009532951586808</v>
      </c>
    </row>
    <row r="71" spans="1:10" x14ac:dyDescent="0.3">
      <c r="A71">
        <v>2015</v>
      </c>
      <c r="B71">
        <v>9</v>
      </c>
      <c r="C71">
        <v>30</v>
      </c>
      <c r="D71">
        <v>2015.748</v>
      </c>
      <c r="E71">
        <v>2.4194101744730698</v>
      </c>
      <c r="F71">
        <v>0.41215548184761902</v>
      </c>
      <c r="G71">
        <v>0</v>
      </c>
      <c r="H71">
        <v>0</v>
      </c>
      <c r="I71" s="11">
        <f t="shared" si="0"/>
        <v>2.8315656563206888</v>
      </c>
    </row>
    <row r="72" spans="1:10" x14ac:dyDescent="0.3">
      <c r="A72">
        <v>2015</v>
      </c>
      <c r="B72">
        <v>10</v>
      </c>
      <c r="C72">
        <v>31</v>
      </c>
      <c r="D72">
        <v>2015.8330000000001</v>
      </c>
      <c r="E72">
        <v>2.5370578218442401</v>
      </c>
      <c r="F72">
        <v>0.43256390882383799</v>
      </c>
      <c r="G72">
        <v>0</v>
      </c>
      <c r="H72">
        <v>0</v>
      </c>
      <c r="I72" s="11">
        <f t="shared" si="0"/>
        <v>2.9696217306680781</v>
      </c>
    </row>
    <row r="73" spans="1:10" x14ac:dyDescent="0.3">
      <c r="A73">
        <v>2015</v>
      </c>
      <c r="B73">
        <v>11</v>
      </c>
      <c r="C73">
        <v>30</v>
      </c>
      <c r="D73">
        <v>2015.915</v>
      </c>
      <c r="E73">
        <v>2.6531352332949898</v>
      </c>
      <c r="F73">
        <v>0.45301614970486498</v>
      </c>
      <c r="G73">
        <v>0</v>
      </c>
      <c r="H73">
        <v>0</v>
      </c>
      <c r="I73" s="11">
        <f t="shared" si="0"/>
        <v>3.1061513829998546</v>
      </c>
    </row>
    <row r="74" spans="1:10" x14ac:dyDescent="0.3">
      <c r="A74">
        <v>2015</v>
      </c>
      <c r="B74">
        <v>12</v>
      </c>
      <c r="C74">
        <v>31</v>
      </c>
      <c r="D74">
        <v>2016</v>
      </c>
      <c r="E74">
        <v>2.77530550165931</v>
      </c>
      <c r="F74">
        <v>0.47478439963428498</v>
      </c>
      <c r="G74">
        <v>0</v>
      </c>
      <c r="H74">
        <v>0</v>
      </c>
      <c r="I74" s="11">
        <f t="shared" si="0"/>
        <v>3.2500899012935949</v>
      </c>
    </row>
    <row r="75" spans="1:10" x14ac:dyDescent="0.3">
      <c r="A75">
        <v>2016</v>
      </c>
      <c r="B75">
        <v>1</v>
      </c>
      <c r="C75">
        <v>31</v>
      </c>
      <c r="D75">
        <v>2016.085</v>
      </c>
      <c r="E75">
        <v>2.8996593601317602</v>
      </c>
      <c r="F75">
        <v>0.49710805812513098</v>
      </c>
      <c r="G75">
        <v>0</v>
      </c>
      <c r="H75">
        <v>0</v>
      </c>
      <c r="I75" s="11">
        <f t="shared" ref="I75:I138" si="1">E75+F75</f>
        <v>3.396767418256891</v>
      </c>
    </row>
    <row r="76" spans="1:10" x14ac:dyDescent="0.3">
      <c r="A76">
        <v>2016</v>
      </c>
      <c r="B76">
        <v>2</v>
      </c>
      <c r="C76">
        <v>29</v>
      </c>
      <c r="D76">
        <v>2016.164</v>
      </c>
      <c r="E76">
        <v>3.0178990291547598</v>
      </c>
      <c r="F76">
        <v>0.51893127042536702</v>
      </c>
      <c r="G76">
        <v>0</v>
      </c>
      <c r="H76">
        <v>0</v>
      </c>
      <c r="I76" s="11">
        <f t="shared" si="1"/>
        <v>3.5368302995801271</v>
      </c>
    </row>
    <row r="77" spans="1:10" x14ac:dyDescent="0.3">
      <c r="A77">
        <v>2016</v>
      </c>
      <c r="B77">
        <v>3</v>
      </c>
      <c r="C77">
        <v>31</v>
      </c>
      <c r="D77">
        <v>2016.249</v>
      </c>
      <c r="E77">
        <v>3.1443641397409898</v>
      </c>
      <c r="F77">
        <v>0.54435593273087302</v>
      </c>
      <c r="G77">
        <v>0</v>
      </c>
      <c r="H77">
        <v>0</v>
      </c>
      <c r="I77" s="11">
        <f t="shared" si="1"/>
        <v>3.6887200724718627</v>
      </c>
    </row>
    <row r="78" spans="1:10" x14ac:dyDescent="0.3">
      <c r="A78">
        <v>2016</v>
      </c>
      <c r="B78">
        <v>4</v>
      </c>
      <c r="C78">
        <v>30</v>
      </c>
      <c r="D78">
        <v>2016.3309999999999</v>
      </c>
      <c r="E78">
        <v>3.2683903230502098</v>
      </c>
      <c r="F78">
        <v>0.57034993965713698</v>
      </c>
      <c r="G78">
        <v>0</v>
      </c>
      <c r="H78">
        <v>0</v>
      </c>
      <c r="I78" s="11">
        <f t="shared" si="1"/>
        <v>3.838740262707347</v>
      </c>
    </row>
    <row r="79" spans="1:10" x14ac:dyDescent="0.3">
      <c r="A79">
        <v>2016</v>
      </c>
      <c r="B79">
        <v>5</v>
      </c>
      <c r="C79">
        <v>31</v>
      </c>
      <c r="D79">
        <v>2016.415</v>
      </c>
      <c r="E79">
        <v>3.39837576643502</v>
      </c>
      <c r="F79">
        <v>0.59699974233584696</v>
      </c>
      <c r="G79">
        <v>0</v>
      </c>
      <c r="H79">
        <v>0</v>
      </c>
      <c r="I79" s="11">
        <f t="shared" si="1"/>
        <v>3.9953755087708669</v>
      </c>
    </row>
    <row r="80" spans="1:10" s="35" customFormat="1" x14ac:dyDescent="0.3">
      <c r="A80">
        <v>2016</v>
      </c>
      <c r="B80">
        <v>6</v>
      </c>
      <c r="C80">
        <v>30</v>
      </c>
      <c r="D80">
        <v>2016.4970000000001</v>
      </c>
      <c r="E80">
        <v>3.52800493118656</v>
      </c>
      <c r="F80">
        <v>0.62228188931307005</v>
      </c>
      <c r="G80">
        <v>0</v>
      </c>
      <c r="H80">
        <v>0</v>
      </c>
      <c r="I80" s="86">
        <f t="shared" si="1"/>
        <v>4.1502868204996304</v>
      </c>
      <c r="J80" s="86"/>
    </row>
    <row r="81" spans="1:18" x14ac:dyDescent="0.3">
      <c r="A81">
        <v>2016</v>
      </c>
      <c r="B81">
        <v>7</v>
      </c>
      <c r="C81">
        <v>31</v>
      </c>
      <c r="D81">
        <v>2016.5820000000001</v>
      </c>
      <c r="E81">
        <v>3.7965498454892099</v>
      </c>
      <c r="F81">
        <v>0.65081174461939295</v>
      </c>
      <c r="G81">
        <v>0</v>
      </c>
      <c r="H81">
        <v>0</v>
      </c>
      <c r="I81" s="11">
        <f t="shared" si="1"/>
        <v>4.4473615901086028</v>
      </c>
      <c r="K81" s="11" t="s">
        <v>260</v>
      </c>
      <c r="L81" s="11" t="s">
        <v>261</v>
      </c>
      <c r="M81" s="11" t="s">
        <v>272</v>
      </c>
      <c r="N81" s="2" t="s">
        <v>181</v>
      </c>
      <c r="O81" s="2" t="s">
        <v>273</v>
      </c>
      <c r="P81" s="2" t="s">
        <v>274</v>
      </c>
      <c r="Q81" s="2" t="s">
        <v>275</v>
      </c>
      <c r="R81" s="2" t="s">
        <v>276</v>
      </c>
    </row>
    <row r="82" spans="1:18" x14ac:dyDescent="0.3">
      <c r="A82">
        <v>2016</v>
      </c>
      <c r="B82">
        <v>8</v>
      </c>
      <c r="C82">
        <v>31</v>
      </c>
      <c r="D82">
        <v>2016.6669999999999</v>
      </c>
      <c r="E82">
        <v>4.0713805686310502</v>
      </c>
      <c r="F82">
        <v>0.680719439317227</v>
      </c>
      <c r="G82">
        <v>0</v>
      </c>
      <c r="H82">
        <v>0</v>
      </c>
      <c r="I82" s="11">
        <f t="shared" si="1"/>
        <v>4.7521000079482771</v>
      </c>
      <c r="K82" s="11">
        <v>2016</v>
      </c>
      <c r="L82" s="11">
        <v>6</v>
      </c>
      <c r="M82" s="97">
        <f>I80</f>
        <v>4.1502868204996304</v>
      </c>
      <c r="N82" s="2">
        <f>'Abatement - Report 3'!$C$7</f>
        <v>3.24</v>
      </c>
      <c r="O82" s="99">
        <f>M82*N82</f>
        <v>13.446929298418803</v>
      </c>
      <c r="P82" s="99">
        <f>O82*44/12</f>
        <v>49.305407427535613</v>
      </c>
      <c r="Q82" s="96">
        <f>'Fuel Emissions'!$D$47</f>
        <v>0.13743644128301888</v>
      </c>
      <c r="R82" s="98">
        <f>P82-Q82</f>
        <v>49.167970986252591</v>
      </c>
    </row>
    <row r="83" spans="1:18" x14ac:dyDescent="0.3">
      <c r="A83">
        <v>2016</v>
      </c>
      <c r="B83">
        <v>9</v>
      </c>
      <c r="C83">
        <v>30</v>
      </c>
      <c r="D83">
        <v>2016.749</v>
      </c>
      <c r="E83">
        <v>4.3428184114278299</v>
      </c>
      <c r="F83">
        <v>0.71138992952241897</v>
      </c>
      <c r="G83">
        <v>0</v>
      </c>
      <c r="H83">
        <v>0</v>
      </c>
      <c r="I83" s="11">
        <f t="shared" si="1"/>
        <v>5.0542083409502485</v>
      </c>
      <c r="K83" s="11">
        <v>2017</v>
      </c>
      <c r="L83" s="11">
        <v>6</v>
      </c>
      <c r="M83" s="97">
        <f>I92</f>
        <v>8.0254305856395192</v>
      </c>
      <c r="N83" s="2">
        <f>'Abatement - Report 3'!$C$7</f>
        <v>3.24</v>
      </c>
      <c r="O83" s="99">
        <f t="shared" ref="O83:O91" si="2">M83*N83</f>
        <v>26.002395097472043</v>
      </c>
      <c r="P83" s="99">
        <f t="shared" ref="P83:P91" si="3">O83*44/12</f>
        <v>95.342115357397503</v>
      </c>
      <c r="Q83" s="96">
        <f>'Fuel Emissions'!$D$47</f>
        <v>0.13743644128301888</v>
      </c>
      <c r="R83" s="96">
        <f t="shared" ref="R83:R91" si="4">P83-Q83</f>
        <v>95.204678916114489</v>
      </c>
    </row>
    <row r="84" spans="1:18" x14ac:dyDescent="0.3">
      <c r="A84">
        <v>2016</v>
      </c>
      <c r="B84">
        <v>10</v>
      </c>
      <c r="C84">
        <v>31</v>
      </c>
      <c r="D84">
        <v>2016.8330000000001</v>
      </c>
      <c r="E84">
        <v>4.6284500180048003</v>
      </c>
      <c r="F84">
        <v>0.74494660425792003</v>
      </c>
      <c r="G84">
        <v>0</v>
      </c>
      <c r="H84">
        <v>0</v>
      </c>
      <c r="I84" s="11">
        <f t="shared" si="1"/>
        <v>5.3733966222627201</v>
      </c>
      <c r="K84" s="11">
        <v>2018</v>
      </c>
      <c r="L84" s="11">
        <v>6</v>
      </c>
      <c r="M84" s="97">
        <f>I104</f>
        <v>10.414981923982209</v>
      </c>
      <c r="N84" s="2">
        <f>'Abatement - Report 3'!$C$7</f>
        <v>3.24</v>
      </c>
      <c r="O84" s="99">
        <f t="shared" si="2"/>
        <v>33.744541433702359</v>
      </c>
      <c r="P84" s="99">
        <f t="shared" si="3"/>
        <v>123.72998525690865</v>
      </c>
      <c r="Q84" s="96">
        <f>'Fuel Emissions'!$D$47</f>
        <v>0.13743644128301888</v>
      </c>
      <c r="R84" s="96">
        <f t="shared" si="4"/>
        <v>123.59254881562563</v>
      </c>
    </row>
    <row r="85" spans="1:18" x14ac:dyDescent="0.3">
      <c r="A85">
        <v>2016</v>
      </c>
      <c r="B85">
        <v>11</v>
      </c>
      <c r="C85">
        <v>30</v>
      </c>
      <c r="D85">
        <v>2016.915</v>
      </c>
      <c r="E85">
        <v>4.9061425330885999</v>
      </c>
      <c r="F85">
        <v>0.77907319095564598</v>
      </c>
      <c r="G85">
        <v>0</v>
      </c>
      <c r="H85">
        <v>0</v>
      </c>
      <c r="I85" s="11">
        <f t="shared" si="1"/>
        <v>5.6852157240442462</v>
      </c>
      <c r="K85" s="11">
        <v>2019</v>
      </c>
      <c r="L85" s="11">
        <v>6</v>
      </c>
      <c r="M85" s="97">
        <f>I116</f>
        <v>12.809904002368871</v>
      </c>
      <c r="N85" s="2">
        <f>'Abatement - Report 3'!$C$7</f>
        <v>3.24</v>
      </c>
      <c r="O85" s="99">
        <f t="shared" si="2"/>
        <v>41.504088967675145</v>
      </c>
      <c r="P85" s="99">
        <f t="shared" si="3"/>
        <v>152.18165954814219</v>
      </c>
      <c r="Q85" s="96">
        <f>'Fuel Emissions'!$D$47</f>
        <v>0.13743644128301888</v>
      </c>
      <c r="R85" s="96">
        <f t="shared" si="4"/>
        <v>152.04422310685916</v>
      </c>
    </row>
    <row r="86" spans="1:18" x14ac:dyDescent="0.3">
      <c r="A86">
        <v>2016</v>
      </c>
      <c r="B86">
        <v>12</v>
      </c>
      <c r="C86">
        <v>31</v>
      </c>
      <c r="D86">
        <v>2017</v>
      </c>
      <c r="E86">
        <v>5.1972397755897104</v>
      </c>
      <c r="F86">
        <v>0.81577388697434305</v>
      </c>
      <c r="G86">
        <v>0</v>
      </c>
      <c r="H86">
        <v>0</v>
      </c>
      <c r="I86" s="11">
        <f t="shared" si="1"/>
        <v>6.0130136625640533</v>
      </c>
      <c r="K86" s="11">
        <v>2020</v>
      </c>
      <c r="L86" s="11">
        <v>6</v>
      </c>
      <c r="M86" s="97">
        <f>I128</f>
        <v>15.172257289814201</v>
      </c>
      <c r="N86" s="2">
        <f>'Abatement - Report 3'!$C$7</f>
        <v>3.24</v>
      </c>
      <c r="O86" s="99">
        <f t="shared" si="2"/>
        <v>49.158113618998016</v>
      </c>
      <c r="P86" s="99">
        <f t="shared" si="3"/>
        <v>180.24641660299275</v>
      </c>
      <c r="Q86" s="96">
        <f>'Fuel Emissions'!$D$47</f>
        <v>0.13743644128301888</v>
      </c>
      <c r="R86" s="96">
        <f t="shared" si="4"/>
        <v>180.10898016170972</v>
      </c>
    </row>
    <row r="87" spans="1:18" x14ac:dyDescent="0.3">
      <c r="A87">
        <v>2017</v>
      </c>
      <c r="B87">
        <v>1</v>
      </c>
      <c r="C87">
        <v>31</v>
      </c>
      <c r="D87">
        <v>2017.085</v>
      </c>
      <c r="E87">
        <v>5.4921072080822899</v>
      </c>
      <c r="F87">
        <v>0.85378659411662905</v>
      </c>
      <c r="G87">
        <v>0</v>
      </c>
      <c r="H87">
        <v>0</v>
      </c>
      <c r="I87" s="11">
        <f t="shared" si="1"/>
        <v>6.3458938021989191</v>
      </c>
      <c r="K87" s="11">
        <v>2021</v>
      </c>
      <c r="L87" s="11">
        <v>6</v>
      </c>
      <c r="M87" s="97">
        <f>I140</f>
        <v>18.283452524204602</v>
      </c>
      <c r="N87" s="2">
        <f>'Abatement - Report 3'!$C$7</f>
        <v>3.24</v>
      </c>
      <c r="O87" s="99">
        <f t="shared" si="2"/>
        <v>59.238386178422914</v>
      </c>
      <c r="P87" s="99">
        <f t="shared" si="3"/>
        <v>217.20741598755069</v>
      </c>
      <c r="Q87" s="96">
        <f>'Fuel Emissions'!$D$47</f>
        <v>0.13743644128301888</v>
      </c>
      <c r="R87" s="96">
        <f t="shared" si="4"/>
        <v>217.06997954626766</v>
      </c>
    </row>
    <row r="88" spans="1:18" x14ac:dyDescent="0.3">
      <c r="A88">
        <v>2017</v>
      </c>
      <c r="B88">
        <v>2</v>
      </c>
      <c r="C88">
        <v>28</v>
      </c>
      <c r="D88">
        <v>2017.162</v>
      </c>
      <c r="E88">
        <v>5.7613229563183896</v>
      </c>
      <c r="F88">
        <v>0.88990846742492002</v>
      </c>
      <c r="G88">
        <v>0</v>
      </c>
      <c r="H88">
        <v>0</v>
      </c>
      <c r="I88" s="11">
        <f t="shared" si="1"/>
        <v>6.6512314237433099</v>
      </c>
      <c r="K88" s="11">
        <v>2022</v>
      </c>
      <c r="L88" s="11">
        <v>6</v>
      </c>
      <c r="M88" s="97">
        <f>I152</f>
        <v>21.987397285961642</v>
      </c>
      <c r="N88" s="2">
        <f>'Abatement - Report 3'!$C$7</f>
        <v>3.24</v>
      </c>
      <c r="O88" s="99">
        <f t="shared" si="2"/>
        <v>71.239167206515717</v>
      </c>
      <c r="P88" s="99">
        <f t="shared" si="3"/>
        <v>261.21027975722433</v>
      </c>
      <c r="Q88" s="96">
        <f>'Fuel Emissions'!$D$47</f>
        <v>0.13743644128301888</v>
      </c>
      <c r="R88" s="96">
        <f t="shared" si="4"/>
        <v>261.07284331594133</v>
      </c>
    </row>
    <row r="89" spans="1:18" x14ac:dyDescent="0.3">
      <c r="A89">
        <v>2017</v>
      </c>
      <c r="B89">
        <v>3</v>
      </c>
      <c r="C89">
        <v>31</v>
      </c>
      <c r="D89">
        <v>2017.2470000000001</v>
      </c>
      <c r="E89">
        <v>6.0622016460929</v>
      </c>
      <c r="F89">
        <v>0.93386251621146199</v>
      </c>
      <c r="G89">
        <v>0</v>
      </c>
      <c r="H89">
        <v>0</v>
      </c>
      <c r="I89" s="11">
        <f t="shared" si="1"/>
        <v>6.9960641623043625</v>
      </c>
      <c r="K89" s="11">
        <v>2023</v>
      </c>
      <c r="L89" s="11">
        <v>6</v>
      </c>
      <c r="M89" s="97">
        <f>I164</f>
        <v>24.695394841157807</v>
      </c>
      <c r="N89" s="2">
        <f>'Abatement - Report 3'!$C$7</f>
        <v>3.24</v>
      </c>
      <c r="O89" s="99">
        <f t="shared" si="2"/>
        <v>80.013079285351296</v>
      </c>
      <c r="P89" s="99">
        <f t="shared" si="3"/>
        <v>293.38129071295475</v>
      </c>
      <c r="Q89" s="96">
        <f>'Fuel Emissions'!$D$47</f>
        <v>0.13743644128301888</v>
      </c>
      <c r="R89" s="96">
        <f t="shared" si="4"/>
        <v>293.24385427167175</v>
      </c>
    </row>
    <row r="90" spans="1:18" x14ac:dyDescent="0.3">
      <c r="A90">
        <v>2017</v>
      </c>
      <c r="B90">
        <v>4</v>
      </c>
      <c r="C90">
        <v>30</v>
      </c>
      <c r="D90">
        <v>2017.329</v>
      </c>
      <c r="E90">
        <v>6.3558437634510199</v>
      </c>
      <c r="F90">
        <v>0.97931558945017205</v>
      </c>
      <c r="G90">
        <v>0</v>
      </c>
      <c r="H90">
        <v>0</v>
      </c>
      <c r="I90" s="11">
        <f t="shared" si="1"/>
        <v>7.3351593529011918</v>
      </c>
      <c r="K90" s="11">
        <v>2024</v>
      </c>
      <c r="L90" s="11">
        <v>6</v>
      </c>
      <c r="M90" s="97">
        <f>I176</f>
        <v>26.53083957802852</v>
      </c>
      <c r="N90" s="2">
        <f>'Abatement - Report 3'!$C$7</f>
        <v>3.24</v>
      </c>
      <c r="O90" s="99">
        <f t="shared" si="2"/>
        <v>85.959920232812408</v>
      </c>
      <c r="P90" s="99">
        <f t="shared" si="3"/>
        <v>315.18637418697881</v>
      </c>
      <c r="Q90" s="96">
        <f>'Fuel Emissions'!$D$47</f>
        <v>0.13743644128301888</v>
      </c>
      <c r="R90" s="96">
        <f t="shared" si="4"/>
        <v>315.04893774569581</v>
      </c>
    </row>
    <row r="91" spans="1:18" x14ac:dyDescent="0.3">
      <c r="A91">
        <v>2017</v>
      </c>
      <c r="B91">
        <v>5</v>
      </c>
      <c r="C91">
        <v>31</v>
      </c>
      <c r="D91">
        <v>2017.414</v>
      </c>
      <c r="E91">
        <v>6.6589491842339203</v>
      </c>
      <c r="F91">
        <v>1.02631812488888</v>
      </c>
      <c r="G91">
        <v>0</v>
      </c>
      <c r="H91">
        <v>0</v>
      </c>
      <c r="I91" s="11">
        <f t="shared" si="1"/>
        <v>7.6852673091227999</v>
      </c>
      <c r="K91" s="11">
        <v>2025</v>
      </c>
      <c r="L91" s="11">
        <v>6</v>
      </c>
      <c r="M91" s="97">
        <f>I188</f>
        <v>28.230259515618208</v>
      </c>
      <c r="N91" s="2">
        <f>'Abatement - Report 3'!$C$7</f>
        <v>3.24</v>
      </c>
      <c r="O91" s="99">
        <f t="shared" si="2"/>
        <v>91.466040830603006</v>
      </c>
      <c r="P91" s="99">
        <f t="shared" si="3"/>
        <v>335.37548304554434</v>
      </c>
      <c r="Q91" s="96">
        <f>'Fuel Emissions'!$D$47</f>
        <v>0.13743644128301888</v>
      </c>
      <c r="R91" s="96">
        <f t="shared" si="4"/>
        <v>335.23804660426134</v>
      </c>
    </row>
    <row r="92" spans="1:18" x14ac:dyDescent="0.3">
      <c r="A92">
        <v>2017</v>
      </c>
      <c r="B92">
        <v>6</v>
      </c>
      <c r="C92">
        <v>30</v>
      </c>
      <c r="D92">
        <v>2017.4960000000001</v>
      </c>
      <c r="E92">
        <v>6.9527552652928897</v>
      </c>
      <c r="F92">
        <v>1.0726753203466299</v>
      </c>
      <c r="G92">
        <v>0</v>
      </c>
      <c r="H92">
        <v>0</v>
      </c>
      <c r="I92" s="86">
        <f t="shared" si="1"/>
        <v>8.0254305856395192</v>
      </c>
      <c r="J92" s="11">
        <v>6.1690428719498609</v>
      </c>
    </row>
    <row r="93" spans="1:18" x14ac:dyDescent="0.3">
      <c r="A93">
        <v>2017</v>
      </c>
      <c r="B93">
        <v>7</v>
      </c>
      <c r="C93">
        <v>31</v>
      </c>
      <c r="D93">
        <v>2017.5809999999999</v>
      </c>
      <c r="E93">
        <v>7.1057822347407296</v>
      </c>
      <c r="F93">
        <v>1.12002319201401</v>
      </c>
      <c r="G93">
        <v>0</v>
      </c>
      <c r="H93">
        <v>0</v>
      </c>
      <c r="I93" s="11">
        <f t="shared" si="1"/>
        <v>8.2258054267547394</v>
      </c>
    </row>
    <row r="94" spans="1:18" x14ac:dyDescent="0.3">
      <c r="A94">
        <v>2017</v>
      </c>
      <c r="B94">
        <v>8</v>
      </c>
      <c r="C94">
        <v>31</v>
      </c>
      <c r="D94">
        <v>2017.6659999999999</v>
      </c>
      <c r="E94">
        <v>7.2591633685600696</v>
      </c>
      <c r="F94">
        <v>1.1679759634718201</v>
      </c>
      <c r="G94">
        <v>0</v>
      </c>
      <c r="H94">
        <v>0</v>
      </c>
      <c r="I94" s="11">
        <f t="shared" si="1"/>
        <v>8.4271393320318904</v>
      </c>
    </row>
    <row r="95" spans="1:18" x14ac:dyDescent="0.3">
      <c r="A95">
        <v>2017</v>
      </c>
      <c r="B95">
        <v>9</v>
      </c>
      <c r="C95">
        <v>30</v>
      </c>
      <c r="D95">
        <v>2017.748</v>
      </c>
      <c r="E95">
        <v>7.4078991490667301</v>
      </c>
      <c r="F95">
        <v>1.21422427998177</v>
      </c>
      <c r="G95">
        <v>0</v>
      </c>
      <c r="H95">
        <v>0</v>
      </c>
      <c r="I95" s="11">
        <f t="shared" si="1"/>
        <v>8.6221234290485</v>
      </c>
    </row>
    <row r="96" spans="1:18" x14ac:dyDescent="0.3">
      <c r="A96">
        <v>2017</v>
      </c>
      <c r="B96">
        <v>10</v>
      </c>
      <c r="C96">
        <v>31</v>
      </c>
      <c r="D96">
        <v>2017.8330000000001</v>
      </c>
      <c r="E96">
        <v>7.5618704946596198</v>
      </c>
      <c r="F96">
        <v>1.26198219437593</v>
      </c>
      <c r="G96">
        <v>0</v>
      </c>
      <c r="H96">
        <v>0</v>
      </c>
      <c r="I96" s="11">
        <f t="shared" si="1"/>
        <v>8.8238526890355491</v>
      </c>
    </row>
    <row r="97" spans="1:10" x14ac:dyDescent="0.3">
      <c r="A97">
        <v>2017</v>
      </c>
      <c r="B97">
        <v>11</v>
      </c>
      <c r="C97">
        <v>30</v>
      </c>
      <c r="D97">
        <v>2017.915</v>
      </c>
      <c r="E97">
        <v>7.7111115233526704</v>
      </c>
      <c r="F97">
        <v>1.3081412604570699</v>
      </c>
      <c r="G97">
        <v>0</v>
      </c>
      <c r="H97">
        <v>0</v>
      </c>
      <c r="I97" s="11">
        <f t="shared" si="1"/>
        <v>9.0192527838097405</v>
      </c>
    </row>
    <row r="98" spans="1:10" x14ac:dyDescent="0.3">
      <c r="A98">
        <v>2017</v>
      </c>
      <c r="B98">
        <v>12</v>
      </c>
      <c r="C98">
        <v>31</v>
      </c>
      <c r="D98">
        <v>2018</v>
      </c>
      <c r="E98">
        <v>7.8655390374324998</v>
      </c>
      <c r="F98">
        <v>1.3555585481810799</v>
      </c>
      <c r="G98">
        <v>0</v>
      </c>
      <c r="H98">
        <v>0</v>
      </c>
      <c r="I98" s="11">
        <f t="shared" si="1"/>
        <v>9.2210975856135793</v>
      </c>
    </row>
    <row r="99" spans="1:10" x14ac:dyDescent="0.3">
      <c r="A99">
        <v>2018</v>
      </c>
      <c r="B99">
        <v>1</v>
      </c>
      <c r="C99">
        <v>31</v>
      </c>
      <c r="D99">
        <v>2018.085</v>
      </c>
      <c r="E99">
        <v>8.0201497638825199</v>
      </c>
      <c r="F99">
        <v>1.4024132152070501</v>
      </c>
      <c r="G99">
        <v>0</v>
      </c>
      <c r="H99">
        <v>0</v>
      </c>
      <c r="I99" s="11">
        <f t="shared" si="1"/>
        <v>9.4225629790895695</v>
      </c>
    </row>
    <row r="100" spans="1:10" x14ac:dyDescent="0.3">
      <c r="A100">
        <v>2018</v>
      </c>
      <c r="B100">
        <v>2</v>
      </c>
      <c r="C100">
        <v>28</v>
      </c>
      <c r="D100">
        <v>2018.162</v>
      </c>
      <c r="E100">
        <v>8.1599295671089607</v>
      </c>
      <c r="F100">
        <v>1.44539529153487</v>
      </c>
      <c r="G100">
        <v>0</v>
      </c>
      <c r="H100">
        <v>0</v>
      </c>
      <c r="I100" s="11">
        <f t="shared" si="1"/>
        <v>9.6053248586438311</v>
      </c>
    </row>
    <row r="101" spans="1:10" x14ac:dyDescent="0.3">
      <c r="A101">
        <v>2018</v>
      </c>
      <c r="B101">
        <v>3</v>
      </c>
      <c r="C101">
        <v>31</v>
      </c>
      <c r="D101">
        <v>2018.2470000000001</v>
      </c>
      <c r="E101">
        <v>8.31388733168796</v>
      </c>
      <c r="F101">
        <v>1.4967701286783099</v>
      </c>
      <c r="G101">
        <v>0</v>
      </c>
      <c r="H101">
        <v>0</v>
      </c>
      <c r="I101" s="11">
        <f t="shared" si="1"/>
        <v>9.8106574603662704</v>
      </c>
    </row>
    <row r="102" spans="1:10" x14ac:dyDescent="0.3">
      <c r="A102">
        <v>2018</v>
      </c>
      <c r="B102">
        <v>4</v>
      </c>
      <c r="C102">
        <v>30</v>
      </c>
      <c r="D102">
        <v>2018.329</v>
      </c>
      <c r="E102">
        <v>8.4628741130456806</v>
      </c>
      <c r="F102">
        <v>1.54868379371134</v>
      </c>
      <c r="G102">
        <v>0</v>
      </c>
      <c r="H102">
        <v>0</v>
      </c>
      <c r="I102" s="11">
        <f t="shared" si="1"/>
        <v>10.011557906757021</v>
      </c>
    </row>
    <row r="103" spans="1:10" x14ac:dyDescent="0.3">
      <c r="A103">
        <v>2018</v>
      </c>
      <c r="B103">
        <v>5</v>
      </c>
      <c r="C103">
        <v>31</v>
      </c>
      <c r="D103">
        <v>2018.414</v>
      </c>
      <c r="E103">
        <v>8.6168930813855393</v>
      </c>
      <c r="F103">
        <v>1.6000555909744201</v>
      </c>
      <c r="G103">
        <v>0</v>
      </c>
      <c r="H103">
        <v>0</v>
      </c>
      <c r="I103" s="11">
        <f t="shared" si="1"/>
        <v>10.21694867235996</v>
      </c>
    </row>
    <row r="104" spans="1:10" x14ac:dyDescent="0.3">
      <c r="A104">
        <v>2018</v>
      </c>
      <c r="B104">
        <v>6</v>
      </c>
      <c r="C104">
        <v>30</v>
      </c>
      <c r="D104">
        <v>2018.4960000000001</v>
      </c>
      <c r="E104">
        <v>8.7659822067723692</v>
      </c>
      <c r="F104">
        <v>1.6489997172098401</v>
      </c>
      <c r="G104">
        <v>0</v>
      </c>
      <c r="H104">
        <v>0</v>
      </c>
      <c r="I104" s="86">
        <f t="shared" si="1"/>
        <v>10.414981923982209</v>
      </c>
      <c r="J104" s="11">
        <v>8.3827088316549201</v>
      </c>
    </row>
    <row r="105" spans="1:10" x14ac:dyDescent="0.3">
      <c r="A105">
        <v>2018</v>
      </c>
      <c r="B105">
        <v>7</v>
      </c>
      <c r="C105">
        <v>31</v>
      </c>
      <c r="D105">
        <v>2018.5809999999999</v>
      </c>
      <c r="E105">
        <v>8.9200552233298005</v>
      </c>
      <c r="F105">
        <v>1.6976326643746</v>
      </c>
      <c r="G105">
        <v>0</v>
      </c>
      <c r="H105">
        <v>0</v>
      </c>
      <c r="I105" s="11">
        <f t="shared" si="1"/>
        <v>10.617687887704401</v>
      </c>
    </row>
    <row r="106" spans="1:10" x14ac:dyDescent="0.3">
      <c r="A106">
        <v>2018</v>
      </c>
      <c r="B106">
        <v>8</v>
      </c>
      <c r="C106">
        <v>31</v>
      </c>
      <c r="D106">
        <v>2018.6659999999999</v>
      </c>
      <c r="E106">
        <v>9.0741176788584301</v>
      </c>
      <c r="F106">
        <v>1.74700585323209</v>
      </c>
      <c r="G106">
        <v>0</v>
      </c>
      <c r="H106">
        <v>0</v>
      </c>
      <c r="I106" s="11">
        <f t="shared" si="1"/>
        <v>10.821123532090521</v>
      </c>
    </row>
    <row r="107" spans="1:10" x14ac:dyDescent="0.3">
      <c r="A107">
        <v>2018</v>
      </c>
      <c r="B107">
        <v>9</v>
      </c>
      <c r="C107">
        <v>30</v>
      </c>
      <c r="D107">
        <v>2018.748</v>
      </c>
      <c r="E107">
        <v>9.2231773107278396</v>
      </c>
      <c r="F107">
        <v>1.7943837337362001</v>
      </c>
      <c r="G107">
        <v>0</v>
      </c>
      <c r="H107">
        <v>0</v>
      </c>
      <c r="I107" s="11">
        <f t="shared" si="1"/>
        <v>11.01756104446404</v>
      </c>
    </row>
    <row r="108" spans="1:10" x14ac:dyDescent="0.3">
      <c r="A108">
        <v>2018</v>
      </c>
      <c r="B108">
        <v>10</v>
      </c>
      <c r="C108">
        <v>31</v>
      </c>
      <c r="D108">
        <v>2018.8330000000001</v>
      </c>
      <c r="E108">
        <v>9.3771484986350995</v>
      </c>
      <c r="F108">
        <v>1.8431306574803099</v>
      </c>
      <c r="G108">
        <v>0</v>
      </c>
      <c r="H108">
        <v>0</v>
      </c>
      <c r="I108" s="11">
        <f t="shared" si="1"/>
        <v>11.22027915611541</v>
      </c>
    </row>
    <row r="109" spans="1:10" x14ac:dyDescent="0.3">
      <c r="A109">
        <v>2018</v>
      </c>
      <c r="B109">
        <v>11</v>
      </c>
      <c r="C109">
        <v>30</v>
      </c>
      <c r="D109">
        <v>2018.915</v>
      </c>
      <c r="E109">
        <v>9.5260764539252207</v>
      </c>
      <c r="F109">
        <v>1.8900688679275399</v>
      </c>
      <c r="G109">
        <v>0</v>
      </c>
      <c r="H109">
        <v>0</v>
      </c>
      <c r="I109" s="11">
        <f t="shared" si="1"/>
        <v>11.41614532185276</v>
      </c>
    </row>
    <row r="110" spans="1:10" x14ac:dyDescent="0.3">
      <c r="A110">
        <v>2018</v>
      </c>
      <c r="B110">
        <v>12</v>
      </c>
      <c r="C110">
        <v>31</v>
      </c>
      <c r="D110">
        <v>2019</v>
      </c>
      <c r="E110">
        <v>9.6798683947019306</v>
      </c>
      <c r="F110">
        <v>1.93803285473569</v>
      </c>
      <c r="G110">
        <v>0</v>
      </c>
      <c r="H110">
        <v>0</v>
      </c>
      <c r="I110" s="11">
        <f t="shared" si="1"/>
        <v>11.617901249437621</v>
      </c>
    </row>
    <row r="111" spans="1:10" x14ac:dyDescent="0.3">
      <c r="A111">
        <v>2019</v>
      </c>
      <c r="B111">
        <v>1</v>
      </c>
      <c r="C111">
        <v>31</v>
      </c>
      <c r="D111">
        <v>2019.085</v>
      </c>
      <c r="E111">
        <v>9.8335375443704596</v>
      </c>
      <c r="F111">
        <v>1.9850068561146901</v>
      </c>
      <c r="G111">
        <v>0</v>
      </c>
      <c r="H111">
        <v>0</v>
      </c>
      <c r="I111" s="11">
        <f t="shared" si="1"/>
        <v>11.81854440048515</v>
      </c>
    </row>
    <row r="112" spans="1:10" x14ac:dyDescent="0.3">
      <c r="A112">
        <v>2019</v>
      </c>
      <c r="B112">
        <v>2</v>
      </c>
      <c r="C112">
        <v>28</v>
      </c>
      <c r="D112">
        <v>2019.162</v>
      </c>
      <c r="E112">
        <v>9.97221303166328</v>
      </c>
      <c r="F112">
        <v>2.0282529890357601</v>
      </c>
      <c r="G112">
        <v>0</v>
      </c>
      <c r="H112">
        <v>0</v>
      </c>
      <c r="I112" s="11">
        <f t="shared" si="1"/>
        <v>12.00046602069904</v>
      </c>
    </row>
    <row r="113" spans="1:10" x14ac:dyDescent="0.3">
      <c r="A113">
        <v>2019</v>
      </c>
      <c r="B113">
        <v>3</v>
      </c>
      <c r="C113">
        <v>31</v>
      </c>
      <c r="D113">
        <v>2019.2470000000001</v>
      </c>
      <c r="E113">
        <v>10.1249012489808</v>
      </c>
      <c r="F113">
        <v>2.0811963368491599</v>
      </c>
      <c r="G113">
        <v>0</v>
      </c>
      <c r="H113">
        <v>0</v>
      </c>
      <c r="I113" s="11">
        <f t="shared" si="1"/>
        <v>12.20609758582996</v>
      </c>
    </row>
    <row r="114" spans="1:10" x14ac:dyDescent="0.3">
      <c r="A114">
        <v>2019</v>
      </c>
      <c r="B114">
        <v>4</v>
      </c>
      <c r="C114">
        <v>30</v>
      </c>
      <c r="D114">
        <v>2019.329</v>
      </c>
      <c r="E114">
        <v>10.2723948078247</v>
      </c>
      <c r="F114">
        <v>2.13542183865659</v>
      </c>
      <c r="G114">
        <v>0</v>
      </c>
      <c r="H114">
        <v>0</v>
      </c>
      <c r="I114" s="11">
        <f t="shared" si="1"/>
        <v>12.40781664648129</v>
      </c>
    </row>
    <row r="115" spans="1:10" x14ac:dyDescent="0.3">
      <c r="A115">
        <v>2019</v>
      </c>
      <c r="B115">
        <v>5</v>
      </c>
      <c r="C115">
        <v>31</v>
      </c>
      <c r="D115">
        <v>2019.414</v>
      </c>
      <c r="E115">
        <v>10.4246115571242</v>
      </c>
      <c r="F115">
        <v>2.18825972612904</v>
      </c>
      <c r="G115">
        <v>0</v>
      </c>
      <c r="H115">
        <v>0</v>
      </c>
      <c r="I115" s="11">
        <f t="shared" si="1"/>
        <v>12.61287128325324</v>
      </c>
    </row>
    <row r="116" spans="1:10" x14ac:dyDescent="0.3">
      <c r="A116">
        <v>2019</v>
      </c>
      <c r="B116">
        <v>6</v>
      </c>
      <c r="C116">
        <v>30</v>
      </c>
      <c r="D116">
        <v>2019.4960000000001</v>
      </c>
      <c r="E116">
        <v>10.5717148614234</v>
      </c>
      <c r="F116">
        <v>2.2381891409454702</v>
      </c>
      <c r="G116">
        <v>0</v>
      </c>
      <c r="H116">
        <v>0</v>
      </c>
      <c r="I116" s="86">
        <f t="shared" si="1"/>
        <v>12.809904002368871</v>
      </c>
      <c r="J116" s="11">
        <v>10.693082666821841</v>
      </c>
    </row>
    <row r="117" spans="1:10" x14ac:dyDescent="0.3">
      <c r="A117">
        <v>2019</v>
      </c>
      <c r="B117">
        <v>7</v>
      </c>
      <c r="C117">
        <v>31</v>
      </c>
      <c r="D117">
        <v>2019.5809999999999</v>
      </c>
      <c r="E117">
        <v>10.723495332076</v>
      </c>
      <c r="F117">
        <v>2.2870267687067001</v>
      </c>
      <c r="G117">
        <v>0</v>
      </c>
      <c r="H117">
        <v>0</v>
      </c>
      <c r="I117" s="11">
        <f t="shared" si="1"/>
        <v>13.010522100782701</v>
      </c>
    </row>
    <row r="118" spans="1:10" x14ac:dyDescent="0.3">
      <c r="A118">
        <v>2019</v>
      </c>
      <c r="B118">
        <v>8</v>
      </c>
      <c r="C118">
        <v>31</v>
      </c>
      <c r="D118">
        <v>2019.6659999999999</v>
      </c>
      <c r="E118">
        <v>10.8750299184426</v>
      </c>
      <c r="F118">
        <v>2.3367462779154802</v>
      </c>
      <c r="G118">
        <v>0</v>
      </c>
      <c r="H118">
        <v>0</v>
      </c>
      <c r="I118" s="11">
        <f t="shared" si="1"/>
        <v>13.21177619635808</v>
      </c>
    </row>
    <row r="119" spans="1:10" x14ac:dyDescent="0.3">
      <c r="A119">
        <v>2019</v>
      </c>
      <c r="B119">
        <v>9</v>
      </c>
      <c r="C119">
        <v>30</v>
      </c>
      <c r="D119">
        <v>2019.748</v>
      </c>
      <c r="E119">
        <v>11.021427631705</v>
      </c>
      <c r="F119">
        <v>2.3842215013470698</v>
      </c>
      <c r="G119">
        <v>0</v>
      </c>
      <c r="H119">
        <v>0</v>
      </c>
      <c r="I119" s="11">
        <f t="shared" si="1"/>
        <v>13.405649133052069</v>
      </c>
    </row>
    <row r="120" spans="1:10" x14ac:dyDescent="0.3">
      <c r="A120">
        <v>2019</v>
      </c>
      <c r="B120">
        <v>10</v>
      </c>
      <c r="C120">
        <v>31</v>
      </c>
      <c r="D120">
        <v>2019.8330000000001</v>
      </c>
      <c r="E120">
        <v>11.172433885365701</v>
      </c>
      <c r="F120">
        <v>2.4329002947474399</v>
      </c>
      <c r="G120">
        <v>0</v>
      </c>
      <c r="H120">
        <v>0</v>
      </c>
      <c r="I120" s="11">
        <f t="shared" si="1"/>
        <v>13.60533418011314</v>
      </c>
    </row>
    <row r="121" spans="1:10" x14ac:dyDescent="0.3">
      <c r="A121">
        <v>2019</v>
      </c>
      <c r="B121">
        <v>11</v>
      </c>
      <c r="C121">
        <v>30</v>
      </c>
      <c r="D121">
        <v>2019.915</v>
      </c>
      <c r="E121">
        <v>11.3182930734161</v>
      </c>
      <c r="F121">
        <v>2.4796052686332</v>
      </c>
      <c r="G121">
        <v>0</v>
      </c>
      <c r="H121">
        <v>0</v>
      </c>
      <c r="I121" s="11">
        <f t="shared" si="1"/>
        <v>13.797898342049301</v>
      </c>
    </row>
    <row r="122" spans="1:10" x14ac:dyDescent="0.3">
      <c r="A122">
        <v>2019</v>
      </c>
      <c r="B122">
        <v>12</v>
      </c>
      <c r="C122">
        <v>31</v>
      </c>
      <c r="D122">
        <v>2020</v>
      </c>
      <c r="E122">
        <v>11.4687158383904</v>
      </c>
      <c r="F122">
        <v>2.5270830985724202</v>
      </c>
      <c r="G122">
        <v>0</v>
      </c>
      <c r="H122">
        <v>0</v>
      </c>
      <c r="I122" s="11">
        <f t="shared" si="1"/>
        <v>13.995798936962821</v>
      </c>
    </row>
    <row r="123" spans="1:10" x14ac:dyDescent="0.3">
      <c r="A123">
        <v>2020</v>
      </c>
      <c r="B123">
        <v>1</v>
      </c>
      <c r="C123">
        <v>31</v>
      </c>
      <c r="D123">
        <v>2020.085</v>
      </c>
      <c r="E123">
        <v>11.618822347094101</v>
      </c>
      <c r="F123">
        <v>2.57315546378122</v>
      </c>
      <c r="G123">
        <v>0</v>
      </c>
      <c r="H123">
        <v>0</v>
      </c>
      <c r="I123" s="11">
        <f t="shared" si="1"/>
        <v>14.19197781087532</v>
      </c>
    </row>
    <row r="124" spans="1:10" x14ac:dyDescent="0.3">
      <c r="A124">
        <v>2020</v>
      </c>
      <c r="B124">
        <v>2</v>
      </c>
      <c r="C124">
        <v>29</v>
      </c>
      <c r="D124">
        <v>2020.164</v>
      </c>
      <c r="E124">
        <v>11.758947115169599</v>
      </c>
      <c r="F124">
        <v>2.6177587131642901</v>
      </c>
      <c r="G124">
        <v>0</v>
      </c>
      <c r="H124">
        <v>0</v>
      </c>
      <c r="I124" s="11">
        <f t="shared" si="1"/>
        <v>14.37670582833389</v>
      </c>
    </row>
    <row r="125" spans="1:10" x14ac:dyDescent="0.3">
      <c r="A125">
        <v>2020</v>
      </c>
      <c r="B125">
        <v>3</v>
      </c>
      <c r="C125">
        <v>31</v>
      </c>
      <c r="D125">
        <v>2020.249</v>
      </c>
      <c r="E125">
        <v>11.907840230341099</v>
      </c>
      <c r="F125">
        <v>2.6712518925396598</v>
      </c>
      <c r="G125">
        <v>0</v>
      </c>
      <c r="H125">
        <v>0</v>
      </c>
      <c r="I125" s="11">
        <f t="shared" si="1"/>
        <v>14.579092122880759</v>
      </c>
    </row>
    <row r="126" spans="1:10" x14ac:dyDescent="0.3">
      <c r="A126">
        <v>2020</v>
      </c>
      <c r="B126">
        <v>4</v>
      </c>
      <c r="C126">
        <v>30</v>
      </c>
      <c r="D126">
        <v>2020.3309999999999</v>
      </c>
      <c r="E126">
        <v>12.0515382720811</v>
      </c>
      <c r="F126">
        <v>2.7263948478861599</v>
      </c>
      <c r="G126">
        <v>0</v>
      </c>
      <c r="H126">
        <v>0</v>
      </c>
      <c r="I126" s="11">
        <f t="shared" si="1"/>
        <v>14.77793311996726</v>
      </c>
    </row>
    <row r="127" spans="1:10" x14ac:dyDescent="0.3">
      <c r="A127">
        <v>2020</v>
      </c>
      <c r="B127">
        <v>5</v>
      </c>
      <c r="C127">
        <v>31</v>
      </c>
      <c r="D127">
        <v>2020.415</v>
      </c>
      <c r="E127">
        <v>12.199671098834401</v>
      </c>
      <c r="F127">
        <v>2.7798116352477402</v>
      </c>
      <c r="G127">
        <v>0</v>
      </c>
      <c r="H127">
        <v>0</v>
      </c>
      <c r="I127" s="11">
        <f t="shared" si="1"/>
        <v>14.97948273408214</v>
      </c>
    </row>
    <row r="128" spans="1:10" x14ac:dyDescent="0.3">
      <c r="A128">
        <v>2020</v>
      </c>
      <c r="B128">
        <v>6</v>
      </c>
      <c r="C128">
        <v>30</v>
      </c>
      <c r="D128">
        <v>2020.4970000000001</v>
      </c>
      <c r="E128">
        <v>12.3426719234425</v>
      </c>
      <c r="F128">
        <v>2.8295853663716999</v>
      </c>
      <c r="G128">
        <v>0</v>
      </c>
      <c r="H128">
        <v>0</v>
      </c>
      <c r="I128" s="86">
        <f t="shared" si="1"/>
        <v>15.172257289814201</v>
      </c>
    </row>
    <row r="129" spans="1:9" x14ac:dyDescent="0.3">
      <c r="A129">
        <v>2020</v>
      </c>
      <c r="B129">
        <v>7</v>
      </c>
      <c r="C129">
        <v>31</v>
      </c>
      <c r="D129">
        <v>2020.5820000000001</v>
      </c>
      <c r="E129">
        <v>12.4900643090562</v>
      </c>
      <c r="F129">
        <v>2.8778564635990702</v>
      </c>
      <c r="G129">
        <v>0</v>
      </c>
      <c r="H129">
        <v>0</v>
      </c>
      <c r="I129" s="11">
        <f t="shared" si="1"/>
        <v>15.367920772655269</v>
      </c>
    </row>
    <row r="130" spans="1:9" x14ac:dyDescent="0.3">
      <c r="A130">
        <v>2020</v>
      </c>
      <c r="B130">
        <v>8</v>
      </c>
      <c r="C130">
        <v>31</v>
      </c>
      <c r="D130">
        <v>2020.6669999999999</v>
      </c>
      <c r="E130">
        <v>12.637065866857</v>
      </c>
      <c r="F130">
        <v>2.92695393598285</v>
      </c>
      <c r="G130">
        <v>0</v>
      </c>
      <c r="H130">
        <v>0</v>
      </c>
      <c r="I130" s="11">
        <f t="shared" si="1"/>
        <v>15.56401980283985</v>
      </c>
    </row>
    <row r="131" spans="1:9" x14ac:dyDescent="0.3">
      <c r="A131">
        <v>2020</v>
      </c>
      <c r="B131">
        <v>9</v>
      </c>
      <c r="C131">
        <v>30</v>
      </c>
      <c r="D131">
        <v>2020.749</v>
      </c>
      <c r="E131">
        <v>12.778944634191401</v>
      </c>
      <c r="F131">
        <v>2.9736327854154201</v>
      </c>
      <c r="G131">
        <v>0</v>
      </c>
      <c r="H131">
        <v>0</v>
      </c>
      <c r="I131" s="11">
        <f t="shared" si="1"/>
        <v>15.752577419606821</v>
      </c>
    </row>
    <row r="132" spans="1:9" x14ac:dyDescent="0.3">
      <c r="A132">
        <v>2020</v>
      </c>
      <c r="B132">
        <v>10</v>
      </c>
      <c r="C132">
        <v>31</v>
      </c>
      <c r="D132">
        <v>2020.8330000000001</v>
      </c>
      <c r="E132">
        <v>12.9251506283323</v>
      </c>
      <c r="F132">
        <v>3.0213389672017201</v>
      </c>
      <c r="G132">
        <v>0</v>
      </c>
      <c r="H132">
        <v>0</v>
      </c>
      <c r="I132" s="11">
        <f t="shared" si="1"/>
        <v>15.94648959553402</v>
      </c>
    </row>
    <row r="133" spans="1:9" x14ac:dyDescent="0.3">
      <c r="A133">
        <v>2020</v>
      </c>
      <c r="B133">
        <v>11</v>
      </c>
      <c r="C133">
        <v>30</v>
      </c>
      <c r="D133">
        <v>2020.915</v>
      </c>
      <c r="E133">
        <v>13.0662433776361</v>
      </c>
      <c r="F133">
        <v>3.0669406370723</v>
      </c>
      <c r="G133">
        <v>0</v>
      </c>
      <c r="H133">
        <v>0</v>
      </c>
      <c r="I133" s="11">
        <f t="shared" si="1"/>
        <v>16.133184014708402</v>
      </c>
    </row>
    <row r="134" spans="1:9" x14ac:dyDescent="0.3">
      <c r="A134">
        <v>2020</v>
      </c>
      <c r="B134">
        <v>12</v>
      </c>
      <c r="C134">
        <v>31</v>
      </c>
      <c r="D134">
        <v>2021</v>
      </c>
      <c r="E134">
        <v>13.213962548440399</v>
      </c>
      <c r="F134">
        <v>3.1108819478795899</v>
      </c>
      <c r="G134">
        <v>0</v>
      </c>
      <c r="H134">
        <v>0</v>
      </c>
      <c r="I134" s="11">
        <f t="shared" si="1"/>
        <v>16.32484449631999</v>
      </c>
    </row>
    <row r="135" spans="1:9" x14ac:dyDescent="0.3">
      <c r="A135">
        <v>2021</v>
      </c>
      <c r="B135">
        <v>1</v>
      </c>
      <c r="C135">
        <v>31</v>
      </c>
      <c r="D135">
        <v>2021.085</v>
      </c>
      <c r="E135">
        <v>13.5033998112595</v>
      </c>
      <c r="F135">
        <v>3.1579279248219101</v>
      </c>
      <c r="G135">
        <v>0</v>
      </c>
      <c r="H135">
        <v>0</v>
      </c>
      <c r="I135" s="11">
        <f t="shared" si="1"/>
        <v>16.661327736081411</v>
      </c>
    </row>
    <row r="136" spans="1:9" x14ac:dyDescent="0.3">
      <c r="A136">
        <v>2021</v>
      </c>
      <c r="B136">
        <v>2</v>
      </c>
      <c r="C136">
        <v>28</v>
      </c>
      <c r="D136">
        <v>2021.162</v>
      </c>
      <c r="E136">
        <v>13.7609531937941</v>
      </c>
      <c r="F136">
        <v>3.2006590147165599</v>
      </c>
      <c r="G136">
        <v>0</v>
      </c>
      <c r="H136">
        <v>0</v>
      </c>
      <c r="I136" s="11">
        <f t="shared" si="1"/>
        <v>16.961612208510658</v>
      </c>
    </row>
    <row r="137" spans="1:9" x14ac:dyDescent="0.3">
      <c r="A137">
        <v>2021</v>
      </c>
      <c r="B137">
        <v>3</v>
      </c>
      <c r="C137">
        <v>31</v>
      </c>
      <c r="D137">
        <v>2021.2470000000001</v>
      </c>
      <c r="E137">
        <v>14.0443717724393</v>
      </c>
      <c r="F137">
        <v>3.2551703179173299</v>
      </c>
      <c r="G137">
        <v>0</v>
      </c>
      <c r="H137">
        <v>0</v>
      </c>
      <c r="I137" s="11">
        <f t="shared" si="1"/>
        <v>17.299542090356631</v>
      </c>
    </row>
    <row r="138" spans="1:9" x14ac:dyDescent="0.3">
      <c r="A138">
        <v>2021</v>
      </c>
      <c r="B138">
        <v>4</v>
      </c>
      <c r="C138">
        <v>30</v>
      </c>
      <c r="D138">
        <v>2021.329</v>
      </c>
      <c r="E138">
        <v>14.3168751652487</v>
      </c>
      <c r="F138">
        <v>3.31226498352865</v>
      </c>
      <c r="G138">
        <v>0</v>
      </c>
      <c r="H138">
        <v>0</v>
      </c>
      <c r="I138" s="11">
        <f t="shared" si="1"/>
        <v>17.629140148777349</v>
      </c>
    </row>
    <row r="139" spans="1:9" x14ac:dyDescent="0.3">
      <c r="A139">
        <v>2021</v>
      </c>
      <c r="B139">
        <v>5</v>
      </c>
      <c r="C139">
        <v>31</v>
      </c>
      <c r="D139">
        <v>2021.414</v>
      </c>
      <c r="E139">
        <v>14.596590042286801</v>
      </c>
      <c r="F139">
        <v>3.3671036148144</v>
      </c>
      <c r="G139">
        <v>0</v>
      </c>
      <c r="H139">
        <v>0</v>
      </c>
      <c r="I139" s="11">
        <f t="shared" ref="I139:I202" si="5">E139+F139</f>
        <v>17.963693657101199</v>
      </c>
    </row>
    <row r="140" spans="1:9" x14ac:dyDescent="0.3">
      <c r="A140">
        <v>2021</v>
      </c>
      <c r="B140">
        <v>6</v>
      </c>
      <c r="C140">
        <v>30</v>
      </c>
      <c r="D140">
        <v>2021.4960000000001</v>
      </c>
      <c r="E140">
        <v>14.865435904019201</v>
      </c>
      <c r="F140">
        <v>3.4180166201854001</v>
      </c>
      <c r="G140">
        <v>0</v>
      </c>
      <c r="H140">
        <v>0</v>
      </c>
      <c r="I140" s="86">
        <f t="shared" si="5"/>
        <v>18.283452524204602</v>
      </c>
    </row>
    <row r="141" spans="1:9" x14ac:dyDescent="0.3">
      <c r="A141">
        <v>2021</v>
      </c>
      <c r="B141">
        <v>7</v>
      </c>
      <c r="C141">
        <v>31</v>
      </c>
      <c r="D141">
        <v>2021.5809999999999</v>
      </c>
      <c r="E141">
        <v>15.141303916319799</v>
      </c>
      <c r="F141">
        <v>3.4669290525161802</v>
      </c>
      <c r="G141">
        <v>0</v>
      </c>
      <c r="H141">
        <v>0</v>
      </c>
      <c r="I141" s="11">
        <f t="shared" si="5"/>
        <v>18.608232968835978</v>
      </c>
    </row>
    <row r="142" spans="1:9" x14ac:dyDescent="0.3">
      <c r="A142">
        <v>2021</v>
      </c>
      <c r="B142">
        <v>8</v>
      </c>
      <c r="C142">
        <v>31</v>
      </c>
      <c r="D142">
        <v>2021.6659999999999</v>
      </c>
      <c r="E142">
        <v>15.414494724704801</v>
      </c>
      <c r="F142">
        <v>3.5169748728174102</v>
      </c>
      <c r="G142">
        <v>0</v>
      </c>
      <c r="H142">
        <v>0</v>
      </c>
      <c r="I142" s="11">
        <f t="shared" si="5"/>
        <v>18.931469597522209</v>
      </c>
    </row>
    <row r="143" spans="1:9" x14ac:dyDescent="0.3">
      <c r="A143">
        <v>2021</v>
      </c>
      <c r="B143">
        <v>9</v>
      </c>
      <c r="C143">
        <v>30</v>
      </c>
      <c r="D143">
        <v>2021.748</v>
      </c>
      <c r="E143">
        <v>15.6769280964863</v>
      </c>
      <c r="F143">
        <v>3.56449041916659</v>
      </c>
      <c r="G143">
        <v>0</v>
      </c>
      <c r="H143">
        <v>0</v>
      </c>
      <c r="I143" s="11">
        <f t="shared" si="5"/>
        <v>19.241418515652889</v>
      </c>
    </row>
    <row r="144" spans="1:9" x14ac:dyDescent="0.3">
      <c r="A144">
        <v>2021</v>
      </c>
      <c r="B144">
        <v>10</v>
      </c>
      <c r="C144">
        <v>31</v>
      </c>
      <c r="D144">
        <v>2021.8330000000001</v>
      </c>
      <c r="E144">
        <v>15.94610100181</v>
      </c>
      <c r="F144">
        <v>3.6130404335381598</v>
      </c>
      <c r="G144">
        <v>0</v>
      </c>
      <c r="H144">
        <v>0</v>
      </c>
      <c r="I144" s="11">
        <f t="shared" si="5"/>
        <v>19.55914143534816</v>
      </c>
    </row>
    <row r="145" spans="1:9" x14ac:dyDescent="0.3">
      <c r="A145">
        <v>2021</v>
      </c>
      <c r="B145">
        <v>11</v>
      </c>
      <c r="C145">
        <v>30</v>
      </c>
      <c r="D145">
        <v>2021.915</v>
      </c>
      <c r="E145">
        <v>16.204630010504101</v>
      </c>
      <c r="F145">
        <v>3.65942360748189</v>
      </c>
      <c r="G145">
        <v>0</v>
      </c>
      <c r="H145">
        <v>0</v>
      </c>
      <c r="I145" s="11">
        <f t="shared" si="5"/>
        <v>19.864053617985991</v>
      </c>
    </row>
    <row r="146" spans="1:9" x14ac:dyDescent="0.3">
      <c r="A146">
        <v>2021</v>
      </c>
      <c r="B146">
        <v>12</v>
      </c>
      <c r="C146">
        <v>31</v>
      </c>
      <c r="D146">
        <v>2022</v>
      </c>
      <c r="E146">
        <v>16.470799756928599</v>
      </c>
      <c r="F146">
        <v>3.7039664103460201</v>
      </c>
      <c r="G146">
        <v>0</v>
      </c>
      <c r="H146">
        <v>0</v>
      </c>
      <c r="I146" s="11">
        <f t="shared" si="5"/>
        <v>20.174766167274619</v>
      </c>
    </row>
    <row r="147" spans="1:9" x14ac:dyDescent="0.3">
      <c r="A147">
        <v>2022</v>
      </c>
      <c r="B147">
        <v>1</v>
      </c>
      <c r="C147">
        <v>31</v>
      </c>
      <c r="D147">
        <v>2022.085</v>
      </c>
      <c r="E147">
        <v>16.733808251246298</v>
      </c>
      <c r="F147">
        <v>3.7509768331451299</v>
      </c>
      <c r="G147">
        <v>0</v>
      </c>
      <c r="H147">
        <v>0</v>
      </c>
      <c r="I147" s="11">
        <f t="shared" si="5"/>
        <v>20.484785084391429</v>
      </c>
    </row>
    <row r="148" spans="1:9" x14ac:dyDescent="0.3">
      <c r="A148">
        <v>2022</v>
      </c>
      <c r="B148">
        <v>2</v>
      </c>
      <c r="C148">
        <v>28</v>
      </c>
      <c r="D148">
        <v>2022.162</v>
      </c>
      <c r="E148">
        <v>16.969048262639902</v>
      </c>
      <c r="F148">
        <v>3.7934123597643401</v>
      </c>
      <c r="G148">
        <v>0</v>
      </c>
      <c r="H148">
        <v>0</v>
      </c>
      <c r="I148" s="11">
        <f t="shared" si="5"/>
        <v>20.762460622404241</v>
      </c>
    </row>
    <row r="149" spans="1:9" x14ac:dyDescent="0.3">
      <c r="A149">
        <v>2022</v>
      </c>
      <c r="B149">
        <v>3</v>
      </c>
      <c r="C149">
        <v>31</v>
      </c>
      <c r="D149">
        <v>2022.2470000000001</v>
      </c>
      <c r="E149">
        <v>17.227492491377799</v>
      </c>
      <c r="F149">
        <v>3.8487112479604502</v>
      </c>
      <c r="G149">
        <v>0</v>
      </c>
      <c r="H149">
        <v>0</v>
      </c>
      <c r="I149" s="11">
        <f t="shared" si="5"/>
        <v>21.076203739338247</v>
      </c>
    </row>
    <row r="150" spans="1:9" x14ac:dyDescent="0.3">
      <c r="A150">
        <v>2022</v>
      </c>
      <c r="B150">
        <v>4</v>
      </c>
      <c r="C150">
        <v>30</v>
      </c>
      <c r="D150">
        <v>2022.329</v>
      </c>
      <c r="E150">
        <v>17.475593086870798</v>
      </c>
      <c r="F150">
        <v>3.90724889391706</v>
      </c>
      <c r="G150">
        <v>0</v>
      </c>
      <c r="H150">
        <v>0</v>
      </c>
      <c r="I150" s="11">
        <f t="shared" si="5"/>
        <v>21.382841980787859</v>
      </c>
    </row>
    <row r="151" spans="1:9" x14ac:dyDescent="0.3">
      <c r="A151">
        <v>2022</v>
      </c>
      <c r="B151">
        <v>5</v>
      </c>
      <c r="C151">
        <v>31</v>
      </c>
      <c r="D151">
        <v>2022.414</v>
      </c>
      <c r="E151">
        <v>17.729886089001099</v>
      </c>
      <c r="F151">
        <v>3.9625980996910002</v>
      </c>
      <c r="G151">
        <v>0</v>
      </c>
      <c r="H151">
        <v>0</v>
      </c>
      <c r="I151" s="11">
        <f t="shared" si="5"/>
        <v>21.692484188692099</v>
      </c>
    </row>
    <row r="152" spans="1:9" x14ac:dyDescent="0.3">
      <c r="A152">
        <v>2022</v>
      </c>
      <c r="B152">
        <v>6</v>
      </c>
      <c r="C152">
        <v>30</v>
      </c>
      <c r="D152">
        <v>2022.4960000000001</v>
      </c>
      <c r="E152">
        <v>17.9739634227052</v>
      </c>
      <c r="F152">
        <v>4.0134338632564397</v>
      </c>
      <c r="G152">
        <v>0</v>
      </c>
      <c r="H152">
        <v>0</v>
      </c>
      <c r="I152" s="86">
        <f t="shared" si="5"/>
        <v>21.987397285961642</v>
      </c>
    </row>
    <row r="153" spans="1:9" x14ac:dyDescent="0.3">
      <c r="A153">
        <v>2022</v>
      </c>
      <c r="B153">
        <v>7</v>
      </c>
      <c r="C153">
        <v>31</v>
      </c>
      <c r="D153">
        <v>2022.5809999999999</v>
      </c>
      <c r="E153">
        <v>18.224096441937899</v>
      </c>
      <c r="F153">
        <v>4.0613772670465504</v>
      </c>
      <c r="G153">
        <v>0</v>
      </c>
      <c r="H153">
        <v>0</v>
      </c>
      <c r="I153" s="11">
        <f t="shared" si="5"/>
        <v>22.285473708984448</v>
      </c>
    </row>
    <row r="154" spans="1:9" x14ac:dyDescent="0.3">
      <c r="A154">
        <v>2022</v>
      </c>
      <c r="B154">
        <v>8</v>
      </c>
      <c r="C154">
        <v>31</v>
      </c>
      <c r="D154">
        <v>2022.6659999999999</v>
      </c>
      <c r="E154">
        <v>18.471667211461298</v>
      </c>
      <c r="F154">
        <v>4.1104991118126399</v>
      </c>
      <c r="G154">
        <v>0</v>
      </c>
      <c r="H154">
        <v>0</v>
      </c>
      <c r="I154" s="11">
        <f t="shared" si="5"/>
        <v>22.582166323273938</v>
      </c>
    </row>
    <row r="155" spans="1:9" x14ac:dyDescent="0.3">
      <c r="A155">
        <v>2022</v>
      </c>
      <c r="B155">
        <v>9</v>
      </c>
      <c r="C155">
        <v>30</v>
      </c>
      <c r="D155">
        <v>2022.748</v>
      </c>
      <c r="E155">
        <v>18.709231496539498</v>
      </c>
      <c r="F155">
        <v>4.1568163539424496</v>
      </c>
      <c r="G155">
        <v>0</v>
      </c>
      <c r="H155">
        <v>0</v>
      </c>
      <c r="I155" s="11">
        <f t="shared" si="5"/>
        <v>22.866047850481948</v>
      </c>
    </row>
    <row r="156" spans="1:9" x14ac:dyDescent="0.3">
      <c r="A156">
        <v>2022</v>
      </c>
      <c r="B156">
        <v>10</v>
      </c>
      <c r="C156">
        <v>31</v>
      </c>
      <c r="D156">
        <v>2022.8330000000001</v>
      </c>
      <c r="E156">
        <v>18.952645879426001</v>
      </c>
      <c r="F156">
        <v>4.20389664661902</v>
      </c>
      <c r="G156">
        <v>0</v>
      </c>
      <c r="H156">
        <v>0</v>
      </c>
      <c r="I156" s="11">
        <f t="shared" si="5"/>
        <v>23.156542526045023</v>
      </c>
    </row>
    <row r="157" spans="1:9" x14ac:dyDescent="0.3">
      <c r="A157">
        <v>2022</v>
      </c>
      <c r="B157">
        <v>11</v>
      </c>
      <c r="C157">
        <v>30</v>
      </c>
      <c r="D157">
        <v>2022.915</v>
      </c>
      <c r="E157">
        <v>19.1862111604364</v>
      </c>
      <c r="F157">
        <v>4.2486339823335504</v>
      </c>
      <c r="G157">
        <v>0</v>
      </c>
      <c r="H157">
        <v>0</v>
      </c>
      <c r="I157" s="11">
        <f t="shared" si="5"/>
        <v>23.434845142769952</v>
      </c>
    </row>
    <row r="158" spans="1:9" x14ac:dyDescent="0.3">
      <c r="A158">
        <v>2022</v>
      </c>
      <c r="B158">
        <v>12</v>
      </c>
      <c r="C158">
        <v>31</v>
      </c>
      <c r="D158">
        <v>2023</v>
      </c>
      <c r="E158">
        <v>19.424543978654501</v>
      </c>
      <c r="F158">
        <v>4.2933919409542698</v>
      </c>
      <c r="G158">
        <v>0</v>
      </c>
      <c r="H158">
        <v>0</v>
      </c>
      <c r="I158" s="11">
        <f t="shared" si="5"/>
        <v>23.71793591960877</v>
      </c>
    </row>
    <row r="159" spans="1:9" x14ac:dyDescent="0.3">
      <c r="A159">
        <v>2023</v>
      </c>
      <c r="B159">
        <v>1</v>
      </c>
      <c r="C159">
        <v>31</v>
      </c>
      <c r="D159">
        <v>2023.085</v>
      </c>
      <c r="E159">
        <v>19.543413116561801</v>
      </c>
      <c r="F159">
        <v>4.3354920234884702</v>
      </c>
      <c r="G159">
        <v>0</v>
      </c>
      <c r="H159">
        <v>0</v>
      </c>
      <c r="I159" s="11">
        <f t="shared" si="5"/>
        <v>23.878905140050271</v>
      </c>
    </row>
    <row r="160" spans="1:9" x14ac:dyDescent="0.3">
      <c r="A160">
        <v>2023</v>
      </c>
      <c r="B160">
        <v>2</v>
      </c>
      <c r="C160">
        <v>28</v>
      </c>
      <c r="D160">
        <v>2023.162</v>
      </c>
      <c r="E160">
        <v>19.650331938305101</v>
      </c>
      <c r="F160">
        <v>4.3753056437837596</v>
      </c>
      <c r="G160">
        <v>0</v>
      </c>
      <c r="H160">
        <v>0</v>
      </c>
      <c r="I160" s="11">
        <f t="shared" si="5"/>
        <v>24.025637582088862</v>
      </c>
    </row>
    <row r="161" spans="1:9" x14ac:dyDescent="0.3">
      <c r="A161">
        <v>2023</v>
      </c>
      <c r="B161">
        <v>3</v>
      </c>
      <c r="C161">
        <v>31</v>
      </c>
      <c r="D161">
        <v>2023.2470000000001</v>
      </c>
      <c r="E161">
        <v>19.768045555682999</v>
      </c>
      <c r="F161">
        <v>4.4285017619671798</v>
      </c>
      <c r="G161">
        <v>0</v>
      </c>
      <c r="H161">
        <v>0</v>
      </c>
      <c r="I161" s="11">
        <f t="shared" si="5"/>
        <v>24.196547317650179</v>
      </c>
    </row>
    <row r="162" spans="1:9" x14ac:dyDescent="0.3">
      <c r="A162">
        <v>2023</v>
      </c>
      <c r="B162">
        <v>4</v>
      </c>
      <c r="C162">
        <v>30</v>
      </c>
      <c r="D162">
        <v>2023.329</v>
      </c>
      <c r="E162">
        <v>19.881445830593499</v>
      </c>
      <c r="F162">
        <v>4.4853736196502698</v>
      </c>
      <c r="G162">
        <v>0</v>
      </c>
      <c r="H162">
        <v>0</v>
      </c>
      <c r="I162" s="11">
        <f t="shared" si="5"/>
        <v>24.366819450243767</v>
      </c>
    </row>
    <row r="163" spans="1:9" x14ac:dyDescent="0.3">
      <c r="A163">
        <v>2023</v>
      </c>
      <c r="B163">
        <v>5</v>
      </c>
      <c r="C163">
        <v>31</v>
      </c>
      <c r="D163">
        <v>2023.414</v>
      </c>
      <c r="E163">
        <v>19.9981187688843</v>
      </c>
      <c r="F163">
        <v>4.5377387222235299</v>
      </c>
      <c r="G163">
        <v>0</v>
      </c>
      <c r="H163">
        <v>0</v>
      </c>
      <c r="I163" s="11">
        <f t="shared" si="5"/>
        <v>24.53585749110783</v>
      </c>
    </row>
    <row r="164" spans="1:9" x14ac:dyDescent="0.3">
      <c r="A164">
        <v>2023</v>
      </c>
      <c r="B164">
        <v>6</v>
      </c>
      <c r="C164">
        <v>30</v>
      </c>
      <c r="D164">
        <v>2023.4960000000001</v>
      </c>
      <c r="E164">
        <v>20.110538263482798</v>
      </c>
      <c r="F164">
        <v>4.5848565776750103</v>
      </c>
      <c r="G164">
        <v>0</v>
      </c>
      <c r="H164">
        <v>0</v>
      </c>
      <c r="I164" s="86">
        <f t="shared" si="5"/>
        <v>24.695394841157807</v>
      </c>
    </row>
    <row r="165" spans="1:9" x14ac:dyDescent="0.3">
      <c r="A165">
        <v>2023</v>
      </c>
      <c r="B165">
        <v>7</v>
      </c>
      <c r="C165">
        <v>31</v>
      </c>
      <c r="D165">
        <v>2023.5809999999999</v>
      </c>
      <c r="E165">
        <v>20.226200228722199</v>
      </c>
      <c r="F165">
        <v>4.6278327623558599</v>
      </c>
      <c r="G165">
        <v>0</v>
      </c>
      <c r="H165">
        <v>0</v>
      </c>
      <c r="I165" s="11">
        <f t="shared" si="5"/>
        <v>24.854032991078057</v>
      </c>
    </row>
    <row r="166" spans="1:9" x14ac:dyDescent="0.3">
      <c r="A166">
        <v>2023</v>
      </c>
      <c r="B166">
        <v>8</v>
      </c>
      <c r="C166">
        <v>31</v>
      </c>
      <c r="D166">
        <v>2023.6659999999999</v>
      </c>
      <c r="E166">
        <v>20.3413504227725</v>
      </c>
      <c r="F166">
        <v>4.6717801790620896</v>
      </c>
      <c r="G166">
        <v>0</v>
      </c>
      <c r="H166">
        <v>0</v>
      </c>
      <c r="I166" s="11">
        <f t="shared" si="5"/>
        <v>25.01313060183459</v>
      </c>
    </row>
    <row r="167" spans="1:9" x14ac:dyDescent="0.3">
      <c r="A167">
        <v>2023</v>
      </c>
      <c r="B167">
        <v>9</v>
      </c>
      <c r="C167">
        <v>30</v>
      </c>
      <c r="D167">
        <v>2023.748</v>
      </c>
      <c r="E167">
        <v>20.452300150039399</v>
      </c>
      <c r="F167">
        <v>4.7125832601874196</v>
      </c>
      <c r="G167">
        <v>0</v>
      </c>
      <c r="H167">
        <v>0</v>
      </c>
      <c r="I167" s="11">
        <f t="shared" si="5"/>
        <v>25.164883410226818</v>
      </c>
    </row>
    <row r="168" spans="1:9" x14ac:dyDescent="0.3">
      <c r="A168">
        <v>2023</v>
      </c>
      <c r="B168">
        <v>10</v>
      </c>
      <c r="C168">
        <v>31</v>
      </c>
      <c r="D168">
        <v>2023.8330000000001</v>
      </c>
      <c r="E168">
        <v>20.566447476907499</v>
      </c>
      <c r="F168">
        <v>4.7535345016192796</v>
      </c>
      <c r="G168">
        <v>0</v>
      </c>
      <c r="H168">
        <v>0</v>
      </c>
      <c r="I168" s="11">
        <f t="shared" si="5"/>
        <v>25.319981978526776</v>
      </c>
    </row>
    <row r="169" spans="1:9" x14ac:dyDescent="0.3">
      <c r="A169">
        <v>2023</v>
      </c>
      <c r="B169">
        <v>11</v>
      </c>
      <c r="C169">
        <v>30</v>
      </c>
      <c r="D169">
        <v>2023.915</v>
      </c>
      <c r="E169">
        <v>20.676429456549101</v>
      </c>
      <c r="F169">
        <v>4.7919370215147099</v>
      </c>
      <c r="G169">
        <v>0</v>
      </c>
      <c r="H169">
        <v>0</v>
      </c>
      <c r="I169" s="11">
        <f t="shared" si="5"/>
        <v>25.46836647806381</v>
      </c>
    </row>
    <row r="170" spans="1:9" x14ac:dyDescent="0.3">
      <c r="A170">
        <v>2023</v>
      </c>
      <c r="B170">
        <v>12</v>
      </c>
      <c r="C170">
        <v>31</v>
      </c>
      <c r="D170">
        <v>2024</v>
      </c>
      <c r="E170">
        <v>20.789579719724198</v>
      </c>
      <c r="F170">
        <v>4.8296846444188199</v>
      </c>
      <c r="G170">
        <v>0</v>
      </c>
      <c r="H170">
        <v>0</v>
      </c>
      <c r="I170" s="11">
        <f t="shared" si="5"/>
        <v>25.619264364143017</v>
      </c>
    </row>
    <row r="171" spans="1:9" x14ac:dyDescent="0.3">
      <c r="A171">
        <v>2024</v>
      </c>
      <c r="B171">
        <v>1</v>
      </c>
      <c r="C171">
        <v>31</v>
      </c>
      <c r="D171">
        <v>2024.085</v>
      </c>
      <c r="E171">
        <v>20.902225602100501</v>
      </c>
      <c r="F171">
        <v>4.8644050292725396</v>
      </c>
      <c r="G171">
        <v>0</v>
      </c>
      <c r="H171">
        <v>0</v>
      </c>
      <c r="I171" s="11">
        <f t="shared" si="5"/>
        <v>25.76663063137304</v>
      </c>
    </row>
    <row r="172" spans="1:9" x14ac:dyDescent="0.3">
      <c r="A172">
        <v>2024</v>
      </c>
      <c r="B172">
        <v>2</v>
      </c>
      <c r="C172">
        <v>29</v>
      </c>
      <c r="D172">
        <v>2024.164</v>
      </c>
      <c r="E172">
        <v>21.007148819998701</v>
      </c>
      <c r="F172">
        <v>4.8995265436347397</v>
      </c>
      <c r="G172">
        <v>0</v>
      </c>
      <c r="H172">
        <v>0</v>
      </c>
      <c r="I172" s="11">
        <f t="shared" si="5"/>
        <v>25.90667536363344</v>
      </c>
    </row>
    <row r="173" spans="1:9" x14ac:dyDescent="0.3">
      <c r="A173">
        <v>2024</v>
      </c>
      <c r="B173">
        <v>3</v>
      </c>
      <c r="C173">
        <v>31</v>
      </c>
      <c r="D173">
        <v>2024.249</v>
      </c>
      <c r="E173">
        <v>21.118678985663198</v>
      </c>
      <c r="F173">
        <v>4.9472790203247996</v>
      </c>
      <c r="G173">
        <v>0</v>
      </c>
      <c r="H173">
        <v>0</v>
      </c>
      <c r="I173" s="11">
        <f t="shared" si="5"/>
        <v>26.065958005987998</v>
      </c>
    </row>
    <row r="174" spans="1:9" x14ac:dyDescent="0.3">
      <c r="A174">
        <v>2024</v>
      </c>
      <c r="B174">
        <v>4</v>
      </c>
      <c r="C174">
        <v>30</v>
      </c>
      <c r="D174">
        <v>2024.3309999999999</v>
      </c>
      <c r="E174">
        <v>21.226121464881398</v>
      </c>
      <c r="F174">
        <v>4.9992104362332199</v>
      </c>
      <c r="G174">
        <v>0</v>
      </c>
      <c r="H174">
        <v>0</v>
      </c>
      <c r="I174" s="11">
        <f t="shared" si="5"/>
        <v>26.225331901114618</v>
      </c>
    </row>
    <row r="175" spans="1:9" x14ac:dyDescent="0.3">
      <c r="A175">
        <v>2024</v>
      </c>
      <c r="B175">
        <v>5</v>
      </c>
      <c r="C175">
        <v>31</v>
      </c>
      <c r="D175">
        <v>2024.415</v>
      </c>
      <c r="E175">
        <v>21.336656233546801</v>
      </c>
      <c r="F175">
        <v>5.0461700528407896</v>
      </c>
      <c r="G175">
        <v>0</v>
      </c>
      <c r="H175">
        <v>0</v>
      </c>
      <c r="I175" s="11">
        <f t="shared" si="5"/>
        <v>26.382826286387591</v>
      </c>
    </row>
    <row r="176" spans="1:9" x14ac:dyDescent="0.3">
      <c r="A176">
        <v>2024</v>
      </c>
      <c r="B176">
        <v>6</v>
      </c>
      <c r="C176">
        <v>30</v>
      </c>
      <c r="D176">
        <v>2024.4970000000001</v>
      </c>
      <c r="E176">
        <v>21.443153641315799</v>
      </c>
      <c r="F176">
        <v>5.0876859367127203</v>
      </c>
      <c r="G176">
        <v>0</v>
      </c>
      <c r="H176">
        <v>0</v>
      </c>
      <c r="I176" s="86">
        <f t="shared" si="5"/>
        <v>26.53083957802852</v>
      </c>
    </row>
    <row r="177" spans="1:9" x14ac:dyDescent="0.3">
      <c r="A177">
        <v>2024</v>
      </c>
      <c r="B177">
        <v>7</v>
      </c>
      <c r="C177">
        <v>31</v>
      </c>
      <c r="D177">
        <v>2024.5820000000001</v>
      </c>
      <c r="E177">
        <v>21.552715241277099</v>
      </c>
      <c r="F177">
        <v>5.1247410271472003</v>
      </c>
      <c r="G177">
        <v>0</v>
      </c>
      <c r="H177">
        <v>0</v>
      </c>
      <c r="I177" s="11">
        <f t="shared" si="5"/>
        <v>26.677456268424301</v>
      </c>
    </row>
    <row r="178" spans="1:9" x14ac:dyDescent="0.3">
      <c r="A178">
        <v>2024</v>
      </c>
      <c r="B178">
        <v>8</v>
      </c>
      <c r="C178">
        <v>31</v>
      </c>
      <c r="D178">
        <v>2024.6669999999999</v>
      </c>
      <c r="E178">
        <v>21.661784938874298</v>
      </c>
      <c r="F178">
        <v>5.1629232682098598</v>
      </c>
      <c r="G178">
        <v>0</v>
      </c>
      <c r="H178">
        <v>0</v>
      </c>
      <c r="I178" s="11">
        <f t="shared" si="5"/>
        <v>26.824708207084157</v>
      </c>
    </row>
    <row r="179" spans="1:9" x14ac:dyDescent="0.3">
      <c r="A179">
        <v>2024</v>
      </c>
      <c r="B179">
        <v>9</v>
      </c>
      <c r="C179">
        <v>30</v>
      </c>
      <c r="D179">
        <v>2024.749</v>
      </c>
      <c r="E179">
        <v>21.766869623598399</v>
      </c>
      <c r="F179">
        <v>5.1981636818141803</v>
      </c>
      <c r="G179">
        <v>0</v>
      </c>
      <c r="H179">
        <v>0</v>
      </c>
      <c r="I179" s="11">
        <f t="shared" si="5"/>
        <v>26.965033305412579</v>
      </c>
    </row>
    <row r="180" spans="1:9" x14ac:dyDescent="0.3">
      <c r="A180">
        <v>2024</v>
      </c>
      <c r="B180">
        <v>10</v>
      </c>
      <c r="C180">
        <v>31</v>
      </c>
      <c r="D180">
        <v>2024.8330000000001</v>
      </c>
      <c r="E180">
        <v>21.874976743848201</v>
      </c>
      <c r="F180">
        <v>5.2334174501157902</v>
      </c>
      <c r="G180">
        <v>0</v>
      </c>
      <c r="H180">
        <v>0</v>
      </c>
      <c r="I180" s="11">
        <f t="shared" si="5"/>
        <v>27.108394193963992</v>
      </c>
    </row>
    <row r="181" spans="1:9" x14ac:dyDescent="0.3">
      <c r="A181">
        <v>2024</v>
      </c>
      <c r="B181">
        <v>11</v>
      </c>
      <c r="C181">
        <v>30</v>
      </c>
      <c r="D181">
        <v>2024.915</v>
      </c>
      <c r="E181">
        <v>21.979133394236001</v>
      </c>
      <c r="F181">
        <v>5.2663350554794004</v>
      </c>
      <c r="G181">
        <v>0</v>
      </c>
      <c r="H181">
        <v>0</v>
      </c>
      <c r="I181" s="11">
        <f t="shared" si="5"/>
        <v>27.245468449715403</v>
      </c>
    </row>
    <row r="182" spans="1:9" x14ac:dyDescent="0.3">
      <c r="A182">
        <v>2024</v>
      </c>
      <c r="B182">
        <v>12</v>
      </c>
      <c r="C182">
        <v>31</v>
      </c>
      <c r="D182">
        <v>2025</v>
      </c>
      <c r="E182">
        <v>22.086285198729399</v>
      </c>
      <c r="F182">
        <v>5.2983250551239296</v>
      </c>
      <c r="G182">
        <v>0</v>
      </c>
      <c r="H182">
        <v>0</v>
      </c>
      <c r="I182" s="11">
        <f t="shared" si="5"/>
        <v>27.384610253853328</v>
      </c>
    </row>
    <row r="183" spans="1:9" x14ac:dyDescent="0.3">
      <c r="A183">
        <v>2025</v>
      </c>
      <c r="B183">
        <v>1</v>
      </c>
      <c r="C183">
        <v>31</v>
      </c>
      <c r="D183">
        <v>2025.085</v>
      </c>
      <c r="E183">
        <v>22.192954352193102</v>
      </c>
      <c r="F183">
        <v>5.3273553221865404</v>
      </c>
      <c r="G183">
        <v>0</v>
      </c>
      <c r="H183">
        <v>0</v>
      </c>
      <c r="I183" s="11">
        <f t="shared" si="5"/>
        <v>27.520309674379643</v>
      </c>
    </row>
    <row r="184" spans="1:9" x14ac:dyDescent="0.3">
      <c r="A184">
        <v>2025</v>
      </c>
      <c r="B184">
        <v>2</v>
      </c>
      <c r="C184">
        <v>28</v>
      </c>
      <c r="D184">
        <v>2025.162</v>
      </c>
      <c r="E184">
        <v>22.288887448097501</v>
      </c>
      <c r="F184">
        <v>5.3564410550193102</v>
      </c>
      <c r="G184">
        <v>0</v>
      </c>
      <c r="H184">
        <v>0</v>
      </c>
      <c r="I184" s="11">
        <f t="shared" si="5"/>
        <v>27.645328503116811</v>
      </c>
    </row>
    <row r="185" spans="1:9" x14ac:dyDescent="0.3">
      <c r="A185">
        <v>2025</v>
      </c>
      <c r="B185">
        <v>3</v>
      </c>
      <c r="C185">
        <v>31</v>
      </c>
      <c r="D185">
        <v>2025.2470000000001</v>
      </c>
      <c r="E185">
        <v>22.394522595551301</v>
      </c>
      <c r="F185">
        <v>5.3998521799944097</v>
      </c>
      <c r="G185">
        <v>0</v>
      </c>
      <c r="H185">
        <v>0</v>
      </c>
      <c r="I185" s="11">
        <f t="shared" si="5"/>
        <v>27.794374775545712</v>
      </c>
    </row>
    <row r="186" spans="1:9" x14ac:dyDescent="0.3">
      <c r="A186">
        <v>2025</v>
      </c>
      <c r="B186">
        <v>4</v>
      </c>
      <c r="C186">
        <v>30</v>
      </c>
      <c r="D186">
        <v>2025.329</v>
      </c>
      <c r="E186">
        <v>22.496284020880299</v>
      </c>
      <c r="F186">
        <v>5.4482559653251004</v>
      </c>
      <c r="G186">
        <v>0</v>
      </c>
      <c r="H186">
        <v>0</v>
      </c>
      <c r="I186" s="11">
        <f t="shared" si="5"/>
        <v>27.944539986205399</v>
      </c>
    </row>
    <row r="187" spans="1:9" x14ac:dyDescent="0.3">
      <c r="A187">
        <v>2025</v>
      </c>
      <c r="B187">
        <v>5</v>
      </c>
      <c r="C187">
        <v>31</v>
      </c>
      <c r="D187">
        <v>2025.414</v>
      </c>
      <c r="E187">
        <v>22.600970725010999</v>
      </c>
      <c r="F187">
        <v>5.4910996412586401</v>
      </c>
      <c r="G187">
        <v>0</v>
      </c>
      <c r="H187">
        <v>0</v>
      </c>
      <c r="I187" s="11">
        <f t="shared" si="5"/>
        <v>28.092070366269638</v>
      </c>
    </row>
    <row r="188" spans="1:9" x14ac:dyDescent="0.3">
      <c r="A188">
        <v>2025</v>
      </c>
      <c r="B188">
        <v>6</v>
      </c>
      <c r="C188">
        <v>30</v>
      </c>
      <c r="D188">
        <v>2025.4960000000001</v>
      </c>
      <c r="E188">
        <v>22.701830594103999</v>
      </c>
      <c r="F188">
        <v>5.5284289215142097</v>
      </c>
      <c r="G188">
        <v>0</v>
      </c>
      <c r="H188">
        <v>0</v>
      </c>
      <c r="I188" s="86">
        <f t="shared" si="5"/>
        <v>28.230259515618208</v>
      </c>
    </row>
    <row r="189" spans="1:9" x14ac:dyDescent="0.3">
      <c r="A189">
        <v>2025</v>
      </c>
      <c r="B189">
        <v>7</v>
      </c>
      <c r="C189">
        <v>31</v>
      </c>
      <c r="D189">
        <v>2025.5809999999999</v>
      </c>
      <c r="E189">
        <v>22.805589584135902</v>
      </c>
      <c r="F189">
        <v>5.5607729315507601</v>
      </c>
      <c r="G189">
        <v>0</v>
      </c>
      <c r="H189">
        <v>0</v>
      </c>
      <c r="I189" s="11">
        <f t="shared" si="5"/>
        <v>28.36636251568666</v>
      </c>
    </row>
    <row r="190" spans="1:9" x14ac:dyDescent="0.3">
      <c r="A190">
        <v>2025</v>
      </c>
      <c r="B190">
        <v>8</v>
      </c>
      <c r="C190">
        <v>31</v>
      </c>
      <c r="D190">
        <v>2025.6659999999999</v>
      </c>
      <c r="E190">
        <v>22.908880121863401</v>
      </c>
      <c r="F190">
        <v>5.5944687197441203</v>
      </c>
      <c r="G190">
        <v>0</v>
      </c>
      <c r="H190">
        <v>0</v>
      </c>
      <c r="I190" s="11">
        <f t="shared" si="5"/>
        <v>28.503348841607522</v>
      </c>
    </row>
    <row r="191" spans="1:9" x14ac:dyDescent="0.3">
      <c r="A191">
        <v>2025</v>
      </c>
      <c r="B191">
        <v>9</v>
      </c>
      <c r="C191">
        <v>30</v>
      </c>
      <c r="D191">
        <v>2025.748</v>
      </c>
      <c r="E191">
        <v>23.008394604002401</v>
      </c>
      <c r="F191">
        <v>5.6253443950111901</v>
      </c>
      <c r="G191">
        <v>0</v>
      </c>
      <c r="H191">
        <v>0</v>
      </c>
      <c r="I191" s="11">
        <f t="shared" si="5"/>
        <v>28.633738999013591</v>
      </c>
    </row>
    <row r="192" spans="1:9" x14ac:dyDescent="0.3">
      <c r="A192">
        <v>2025</v>
      </c>
      <c r="B192">
        <v>10</v>
      </c>
      <c r="C192">
        <v>31</v>
      </c>
      <c r="D192">
        <v>2025.8330000000001</v>
      </c>
      <c r="E192">
        <v>23.110769331388799</v>
      </c>
      <c r="F192">
        <v>5.6561137242682102</v>
      </c>
      <c r="G192">
        <v>0</v>
      </c>
      <c r="H192">
        <v>0</v>
      </c>
      <c r="I192" s="11">
        <f t="shared" si="5"/>
        <v>28.766883055657008</v>
      </c>
    </row>
    <row r="193" spans="1:9" x14ac:dyDescent="0.3">
      <c r="A193">
        <v>2025</v>
      </c>
      <c r="B193">
        <v>11</v>
      </c>
      <c r="C193">
        <v>30</v>
      </c>
      <c r="D193">
        <v>2025.915</v>
      </c>
      <c r="E193">
        <v>23.209401409486301</v>
      </c>
      <c r="F193">
        <v>5.6847113640751799</v>
      </c>
      <c r="G193">
        <v>0</v>
      </c>
      <c r="H193">
        <v>0</v>
      </c>
      <c r="I193" s="11">
        <f t="shared" si="5"/>
        <v>28.894112773561481</v>
      </c>
    </row>
    <row r="194" spans="1:9" x14ac:dyDescent="0.3">
      <c r="A194">
        <v>2025</v>
      </c>
      <c r="B194">
        <v>12</v>
      </c>
      <c r="C194">
        <v>31</v>
      </c>
      <c r="D194">
        <v>2026</v>
      </c>
      <c r="E194">
        <v>23.310868332695499</v>
      </c>
      <c r="F194">
        <v>5.7122047152762798</v>
      </c>
      <c r="G194">
        <v>0</v>
      </c>
      <c r="H194">
        <v>0</v>
      </c>
      <c r="I194" s="11">
        <f t="shared" si="5"/>
        <v>29.023073047971778</v>
      </c>
    </row>
    <row r="195" spans="1:9" x14ac:dyDescent="0.3">
      <c r="A195">
        <v>2026</v>
      </c>
      <c r="B195">
        <v>1</v>
      </c>
      <c r="C195">
        <v>31</v>
      </c>
      <c r="D195">
        <v>2026.085</v>
      </c>
      <c r="E195">
        <v>23.411877005611601</v>
      </c>
      <c r="F195">
        <v>5.7366196432999503</v>
      </c>
      <c r="G195">
        <v>0</v>
      </c>
      <c r="H195">
        <v>0</v>
      </c>
      <c r="I195" s="11">
        <f t="shared" si="5"/>
        <v>29.14849664891155</v>
      </c>
    </row>
    <row r="196" spans="1:9" x14ac:dyDescent="0.3">
      <c r="A196">
        <v>2026</v>
      </c>
      <c r="B196">
        <v>2</v>
      </c>
      <c r="C196">
        <v>28</v>
      </c>
      <c r="D196">
        <v>2026.162</v>
      </c>
      <c r="E196">
        <v>23.5027185130585</v>
      </c>
      <c r="F196">
        <v>5.7618099033263199</v>
      </c>
      <c r="G196">
        <v>0</v>
      </c>
      <c r="H196">
        <v>0</v>
      </c>
      <c r="I196" s="11">
        <f t="shared" si="5"/>
        <v>29.26452841638482</v>
      </c>
    </row>
    <row r="197" spans="1:9" x14ac:dyDescent="0.3">
      <c r="A197">
        <v>2026</v>
      </c>
      <c r="B197">
        <v>3</v>
      </c>
      <c r="C197">
        <v>31</v>
      </c>
      <c r="D197">
        <v>2026.2470000000001</v>
      </c>
      <c r="E197">
        <v>23.602758890591002</v>
      </c>
      <c r="F197">
        <v>5.8017905771183003</v>
      </c>
      <c r="G197">
        <v>0</v>
      </c>
      <c r="H197">
        <v>0</v>
      </c>
      <c r="I197" s="11">
        <f t="shared" si="5"/>
        <v>29.404549467709302</v>
      </c>
    </row>
    <row r="198" spans="1:9" x14ac:dyDescent="0.3">
      <c r="A198">
        <v>2026</v>
      </c>
      <c r="B198">
        <v>4</v>
      </c>
      <c r="C198">
        <v>30</v>
      </c>
      <c r="D198">
        <v>2026.329</v>
      </c>
      <c r="E198">
        <v>23.699131528012199</v>
      </c>
      <c r="F198">
        <v>5.8474430853573098</v>
      </c>
      <c r="G198">
        <v>0</v>
      </c>
      <c r="H198">
        <v>0</v>
      </c>
      <c r="I198" s="11">
        <f t="shared" si="5"/>
        <v>29.546574613369508</v>
      </c>
    </row>
    <row r="199" spans="1:9" x14ac:dyDescent="0.3">
      <c r="A199">
        <v>2026</v>
      </c>
      <c r="B199">
        <v>5</v>
      </c>
      <c r="C199">
        <v>31</v>
      </c>
      <c r="D199">
        <v>2026.414</v>
      </c>
      <c r="E199">
        <v>23.798274272574702</v>
      </c>
      <c r="F199">
        <v>5.8870246056771496</v>
      </c>
      <c r="G199">
        <v>0</v>
      </c>
      <c r="H199">
        <v>0</v>
      </c>
      <c r="I199" s="11">
        <f t="shared" si="5"/>
        <v>29.685298878251849</v>
      </c>
    </row>
    <row r="200" spans="1:9" x14ac:dyDescent="0.3">
      <c r="A200">
        <v>2026</v>
      </c>
      <c r="B200">
        <v>6</v>
      </c>
      <c r="C200">
        <v>30</v>
      </c>
      <c r="D200">
        <v>2026.4960000000001</v>
      </c>
      <c r="E200">
        <v>23.8937927934832</v>
      </c>
      <c r="F200">
        <v>5.9210086136470501</v>
      </c>
      <c r="G200">
        <v>0</v>
      </c>
      <c r="H200">
        <v>0</v>
      </c>
      <c r="I200" s="86">
        <f t="shared" si="5"/>
        <v>29.814801407130251</v>
      </c>
    </row>
    <row r="201" spans="1:9" x14ac:dyDescent="0.3">
      <c r="A201">
        <v>2026</v>
      </c>
      <c r="B201">
        <v>7</v>
      </c>
      <c r="C201">
        <v>31</v>
      </c>
      <c r="D201">
        <v>2026.5809999999999</v>
      </c>
      <c r="E201">
        <v>23.992057060667001</v>
      </c>
      <c r="F201">
        <v>5.9495495869324699</v>
      </c>
      <c r="G201">
        <v>0</v>
      </c>
      <c r="H201">
        <v>0</v>
      </c>
      <c r="I201" s="11">
        <f t="shared" si="5"/>
        <v>29.941606647599471</v>
      </c>
    </row>
    <row r="202" spans="1:9" x14ac:dyDescent="0.3">
      <c r="A202">
        <v>2026</v>
      </c>
      <c r="B202">
        <v>8</v>
      </c>
      <c r="C202">
        <v>31</v>
      </c>
      <c r="D202">
        <v>2026.6659999999999</v>
      </c>
      <c r="E202">
        <v>24.089878046651201</v>
      </c>
      <c r="F202">
        <v>5.9796244562983096</v>
      </c>
      <c r="G202">
        <v>0</v>
      </c>
      <c r="H202">
        <v>0</v>
      </c>
      <c r="I202" s="11">
        <f t="shared" si="5"/>
        <v>30.069502502949511</v>
      </c>
    </row>
    <row r="203" spans="1:9" x14ac:dyDescent="0.3">
      <c r="A203">
        <v>2026</v>
      </c>
      <c r="B203">
        <v>9</v>
      </c>
      <c r="C203">
        <v>30</v>
      </c>
      <c r="D203">
        <v>2026.748</v>
      </c>
      <c r="E203">
        <v>24.1841234639035</v>
      </c>
      <c r="F203">
        <v>6.0069642335654203</v>
      </c>
      <c r="G203">
        <v>0</v>
      </c>
      <c r="H203">
        <v>0</v>
      </c>
      <c r="I203" s="11">
        <f t="shared" ref="I203:I266" si="6">E203+F203</f>
        <v>30.19108769746892</v>
      </c>
    </row>
    <row r="204" spans="1:9" x14ac:dyDescent="0.3">
      <c r="A204">
        <v>2026</v>
      </c>
      <c r="B204">
        <v>10</v>
      </c>
      <c r="C204">
        <v>31</v>
      </c>
      <c r="D204">
        <v>2026.8330000000001</v>
      </c>
      <c r="E204">
        <v>24.281078420140901</v>
      </c>
      <c r="F204">
        <v>6.0340903334785603</v>
      </c>
      <c r="G204">
        <v>0</v>
      </c>
      <c r="H204">
        <v>0</v>
      </c>
      <c r="I204" s="11">
        <f t="shared" si="6"/>
        <v>30.31516875361946</v>
      </c>
    </row>
    <row r="205" spans="1:9" x14ac:dyDescent="0.3">
      <c r="A205">
        <v>2026</v>
      </c>
      <c r="B205">
        <v>11</v>
      </c>
      <c r="C205">
        <v>30</v>
      </c>
      <c r="D205">
        <v>2026.915</v>
      </c>
      <c r="E205">
        <v>24.374489750359899</v>
      </c>
      <c r="F205">
        <v>6.0591682771367203</v>
      </c>
      <c r="G205">
        <v>0</v>
      </c>
      <c r="H205">
        <v>0</v>
      </c>
      <c r="I205" s="11">
        <f t="shared" si="6"/>
        <v>30.43365802749662</v>
      </c>
    </row>
    <row r="206" spans="1:9" x14ac:dyDescent="0.3">
      <c r="A206">
        <v>2026</v>
      </c>
      <c r="B206">
        <v>12</v>
      </c>
      <c r="C206">
        <v>31</v>
      </c>
      <c r="D206">
        <v>2027</v>
      </c>
      <c r="E206">
        <v>24.470586961246902</v>
      </c>
      <c r="F206">
        <v>6.0829846602602604</v>
      </c>
      <c r="G206">
        <v>0</v>
      </c>
      <c r="H206">
        <v>0</v>
      </c>
      <c r="I206" s="11">
        <f t="shared" si="6"/>
        <v>30.55357162150716</v>
      </c>
    </row>
    <row r="207" spans="1:9" x14ac:dyDescent="0.3">
      <c r="A207">
        <v>2027</v>
      </c>
      <c r="B207">
        <v>1</v>
      </c>
      <c r="C207">
        <v>31</v>
      </c>
      <c r="D207">
        <v>2027.085</v>
      </c>
      <c r="E207">
        <v>24.5662514486852</v>
      </c>
      <c r="F207">
        <v>6.1036075548983799</v>
      </c>
      <c r="G207">
        <v>0</v>
      </c>
      <c r="H207">
        <v>0</v>
      </c>
      <c r="I207" s="11">
        <f t="shared" si="6"/>
        <v>30.669859003583582</v>
      </c>
    </row>
    <row r="208" spans="1:9" x14ac:dyDescent="0.3">
      <c r="A208">
        <v>2027</v>
      </c>
      <c r="B208">
        <v>2</v>
      </c>
      <c r="C208">
        <v>28</v>
      </c>
      <c r="D208">
        <v>2027.162</v>
      </c>
      <c r="E208">
        <v>24.6522879314143</v>
      </c>
      <c r="F208">
        <v>6.12560245054026</v>
      </c>
      <c r="G208">
        <v>0</v>
      </c>
      <c r="H208">
        <v>0</v>
      </c>
      <c r="I208" s="11">
        <f t="shared" si="6"/>
        <v>30.77789038195456</v>
      </c>
    </row>
    <row r="209" spans="1:9" x14ac:dyDescent="0.3">
      <c r="A209">
        <v>2027</v>
      </c>
      <c r="B209">
        <v>3</v>
      </c>
      <c r="C209">
        <v>31</v>
      </c>
      <c r="D209">
        <v>2027.2470000000001</v>
      </c>
      <c r="E209">
        <v>24.747051278533</v>
      </c>
      <c r="F209">
        <v>6.1628090677025504</v>
      </c>
      <c r="G209">
        <v>0</v>
      </c>
      <c r="H209">
        <v>0</v>
      </c>
      <c r="I209" s="11">
        <f t="shared" si="6"/>
        <v>30.909860346235551</v>
      </c>
    </row>
    <row r="210" spans="1:9" x14ac:dyDescent="0.3">
      <c r="A210">
        <v>2027</v>
      </c>
      <c r="B210">
        <v>4</v>
      </c>
      <c r="C210">
        <v>30</v>
      </c>
      <c r="D210">
        <v>2027.329</v>
      </c>
      <c r="E210">
        <v>24.838340053979099</v>
      </c>
      <c r="F210">
        <v>6.2062668924128301</v>
      </c>
      <c r="G210">
        <v>0</v>
      </c>
      <c r="H210">
        <v>0</v>
      </c>
      <c r="I210" s="11">
        <f t="shared" si="6"/>
        <v>31.04460694639193</v>
      </c>
    </row>
    <row r="211" spans="1:9" x14ac:dyDescent="0.3">
      <c r="A211">
        <v>2027</v>
      </c>
      <c r="B211">
        <v>5</v>
      </c>
      <c r="C211">
        <v>31</v>
      </c>
      <c r="D211">
        <v>2027.414</v>
      </c>
      <c r="E211">
        <v>24.9322546597487</v>
      </c>
      <c r="F211">
        <v>6.2432038516595796</v>
      </c>
      <c r="G211">
        <v>0</v>
      </c>
      <c r="H211">
        <v>0</v>
      </c>
      <c r="I211" s="11">
        <f t="shared" si="6"/>
        <v>31.17545851140828</v>
      </c>
    </row>
    <row r="212" spans="1:9" x14ac:dyDescent="0.3">
      <c r="A212">
        <v>2027</v>
      </c>
      <c r="B212">
        <v>6</v>
      </c>
      <c r="C212">
        <v>30</v>
      </c>
      <c r="D212">
        <v>2027.4960000000001</v>
      </c>
      <c r="E212">
        <v>25.022738085173401</v>
      </c>
      <c r="F212">
        <v>6.2744545011902799</v>
      </c>
      <c r="G212">
        <v>0</v>
      </c>
      <c r="H212">
        <v>0</v>
      </c>
      <c r="I212" s="86">
        <f t="shared" si="6"/>
        <v>31.297192586363682</v>
      </c>
    </row>
    <row r="213" spans="1:9" x14ac:dyDescent="0.3">
      <c r="A213">
        <v>2027</v>
      </c>
      <c r="B213">
        <v>7</v>
      </c>
      <c r="C213">
        <v>31</v>
      </c>
      <c r="D213">
        <v>2027.5809999999999</v>
      </c>
      <c r="E213">
        <v>25.115824642950301</v>
      </c>
      <c r="F213">
        <v>6.29985746874351</v>
      </c>
      <c r="G213">
        <v>0</v>
      </c>
      <c r="H213">
        <v>0</v>
      </c>
      <c r="I213" s="11">
        <f t="shared" si="6"/>
        <v>31.415682111693812</v>
      </c>
    </row>
    <row r="214" spans="1:9" x14ac:dyDescent="0.3">
      <c r="A214">
        <v>2027</v>
      </c>
      <c r="B214">
        <v>8</v>
      </c>
      <c r="C214">
        <v>31</v>
      </c>
      <c r="D214">
        <v>2027.6659999999999</v>
      </c>
      <c r="E214">
        <v>25.208493565758701</v>
      </c>
      <c r="F214">
        <v>6.3269459731096598</v>
      </c>
      <c r="G214">
        <v>0</v>
      </c>
      <c r="H214">
        <v>0</v>
      </c>
      <c r="I214" s="11">
        <f t="shared" si="6"/>
        <v>31.53543953886836</v>
      </c>
    </row>
    <row r="215" spans="1:9" x14ac:dyDescent="0.3">
      <c r="A215">
        <v>2027</v>
      </c>
      <c r="B215">
        <v>9</v>
      </c>
      <c r="C215">
        <v>30</v>
      </c>
      <c r="D215">
        <v>2027.748</v>
      </c>
      <c r="E215">
        <v>25.297777538344899</v>
      </c>
      <c r="F215">
        <v>6.351359537494</v>
      </c>
      <c r="G215">
        <v>0</v>
      </c>
      <c r="H215">
        <v>0</v>
      </c>
      <c r="I215" s="11">
        <f t="shared" si="6"/>
        <v>31.649137075838901</v>
      </c>
    </row>
    <row r="216" spans="1:9" x14ac:dyDescent="0.3">
      <c r="A216">
        <v>2027</v>
      </c>
      <c r="B216">
        <v>10</v>
      </c>
      <c r="C216">
        <v>31</v>
      </c>
      <c r="D216">
        <v>2027.8330000000001</v>
      </c>
      <c r="E216">
        <v>25.389630904497501</v>
      </c>
      <c r="F216">
        <v>6.3754629500849704</v>
      </c>
      <c r="G216">
        <v>0</v>
      </c>
      <c r="H216">
        <v>0</v>
      </c>
      <c r="I216" s="11">
        <f t="shared" si="6"/>
        <v>31.765093854582471</v>
      </c>
    </row>
    <row r="217" spans="1:9" x14ac:dyDescent="0.3">
      <c r="A217">
        <v>2027</v>
      </c>
      <c r="B217">
        <v>11</v>
      </c>
      <c r="C217">
        <v>30</v>
      </c>
      <c r="D217">
        <v>2027.915</v>
      </c>
      <c r="E217">
        <v>25.478129628221399</v>
      </c>
      <c r="F217">
        <v>6.3976132364582003</v>
      </c>
      <c r="G217">
        <v>0</v>
      </c>
      <c r="H217">
        <v>0</v>
      </c>
      <c r="I217" s="11">
        <f t="shared" si="6"/>
        <v>31.875742864679601</v>
      </c>
    </row>
    <row r="218" spans="1:9" x14ac:dyDescent="0.3">
      <c r="A218">
        <v>2027</v>
      </c>
      <c r="B218">
        <v>12</v>
      </c>
      <c r="C218">
        <v>31</v>
      </c>
      <c r="D218">
        <v>2028</v>
      </c>
      <c r="E218">
        <v>25.569175698053101</v>
      </c>
      <c r="F218">
        <v>6.4183611018674203</v>
      </c>
      <c r="G218">
        <v>0</v>
      </c>
      <c r="H218">
        <v>0</v>
      </c>
      <c r="I218" s="11">
        <f t="shared" si="6"/>
        <v>31.98753679992052</v>
      </c>
    </row>
    <row r="219" spans="1:9" x14ac:dyDescent="0.3">
      <c r="A219">
        <v>2028</v>
      </c>
      <c r="B219">
        <v>1</v>
      </c>
      <c r="C219">
        <v>31</v>
      </c>
      <c r="D219">
        <v>2028.085</v>
      </c>
      <c r="E219">
        <v>25.659814660735499</v>
      </c>
      <c r="F219">
        <v>6.4358056649214301</v>
      </c>
      <c r="G219">
        <v>0</v>
      </c>
      <c r="H219">
        <v>0</v>
      </c>
      <c r="I219" s="11">
        <f t="shared" si="6"/>
        <v>32.095620325656931</v>
      </c>
    </row>
    <row r="220" spans="1:9" x14ac:dyDescent="0.3">
      <c r="A220">
        <v>2028</v>
      </c>
      <c r="B220">
        <v>2</v>
      </c>
      <c r="C220">
        <v>29</v>
      </c>
      <c r="D220">
        <v>2028.164</v>
      </c>
      <c r="E220">
        <v>25.744239272753401</v>
      </c>
      <c r="F220">
        <v>6.4562277855180596</v>
      </c>
      <c r="G220">
        <v>0</v>
      </c>
      <c r="H220">
        <v>0</v>
      </c>
      <c r="I220" s="11">
        <f t="shared" si="6"/>
        <v>32.200467058271457</v>
      </c>
    </row>
    <row r="221" spans="1:9" x14ac:dyDescent="0.3">
      <c r="A221">
        <v>2028</v>
      </c>
      <c r="B221">
        <v>3</v>
      </c>
      <c r="C221">
        <v>31</v>
      </c>
      <c r="D221">
        <v>2028.249</v>
      </c>
      <c r="E221">
        <v>25.834022319629</v>
      </c>
      <c r="F221">
        <v>6.4914870779734004</v>
      </c>
      <c r="G221">
        <v>0</v>
      </c>
      <c r="H221">
        <v>0</v>
      </c>
      <c r="I221" s="11">
        <f t="shared" si="6"/>
        <v>32.325509397602403</v>
      </c>
    </row>
    <row r="222" spans="1:9" x14ac:dyDescent="0.3">
      <c r="A222">
        <v>2028</v>
      </c>
      <c r="B222">
        <v>4</v>
      </c>
      <c r="C222">
        <v>30</v>
      </c>
      <c r="D222">
        <v>2028.3309999999999</v>
      </c>
      <c r="E222">
        <v>25.920520080601101</v>
      </c>
      <c r="F222">
        <v>6.5328515639680296</v>
      </c>
      <c r="G222">
        <v>0</v>
      </c>
      <c r="H222">
        <v>0</v>
      </c>
      <c r="I222" s="11">
        <f t="shared" si="6"/>
        <v>32.453371644569131</v>
      </c>
    </row>
    <row r="223" spans="1:9" x14ac:dyDescent="0.3">
      <c r="A223">
        <v>2028</v>
      </c>
      <c r="B223">
        <v>5</v>
      </c>
      <c r="C223">
        <v>31</v>
      </c>
      <c r="D223">
        <v>2028.415</v>
      </c>
      <c r="E223">
        <v>26.009509072076298</v>
      </c>
      <c r="F223">
        <v>6.5674692895415703</v>
      </c>
      <c r="G223">
        <v>0</v>
      </c>
      <c r="H223">
        <v>0</v>
      </c>
      <c r="I223" s="11">
        <f t="shared" si="6"/>
        <v>32.576978361617869</v>
      </c>
    </row>
    <row r="224" spans="1:9" x14ac:dyDescent="0.3">
      <c r="A224">
        <v>2028</v>
      </c>
      <c r="B224">
        <v>6</v>
      </c>
      <c r="C224">
        <v>30</v>
      </c>
      <c r="D224">
        <v>2028.4970000000001</v>
      </c>
      <c r="E224">
        <v>26.095250029733801</v>
      </c>
      <c r="F224">
        <v>6.5961627491849102</v>
      </c>
      <c r="G224">
        <v>0</v>
      </c>
      <c r="H224">
        <v>0</v>
      </c>
      <c r="I224" s="86">
        <f t="shared" si="6"/>
        <v>32.691412778918711</v>
      </c>
    </row>
    <row r="225" spans="1:9" x14ac:dyDescent="0.3">
      <c r="A225">
        <v>2028</v>
      </c>
      <c r="B225">
        <v>7</v>
      </c>
      <c r="C225">
        <v>31</v>
      </c>
      <c r="D225">
        <v>2028.5820000000001</v>
      </c>
      <c r="E225">
        <v>26.183461061176398</v>
      </c>
      <c r="F225">
        <v>6.6190110245422904</v>
      </c>
      <c r="G225">
        <v>0</v>
      </c>
      <c r="H225">
        <v>0</v>
      </c>
      <c r="I225" s="11">
        <f t="shared" si="6"/>
        <v>32.802472085718691</v>
      </c>
    </row>
    <row r="226" spans="1:9" x14ac:dyDescent="0.3">
      <c r="A226">
        <v>2028</v>
      </c>
      <c r="B226">
        <v>8</v>
      </c>
      <c r="C226">
        <v>31</v>
      </c>
      <c r="D226">
        <v>2028.6669999999999</v>
      </c>
      <c r="E226">
        <v>26.2712798466024</v>
      </c>
      <c r="F226">
        <v>6.64352282134214</v>
      </c>
      <c r="G226">
        <v>0</v>
      </c>
      <c r="H226">
        <v>0</v>
      </c>
      <c r="I226" s="11">
        <f t="shared" si="6"/>
        <v>32.914802667944542</v>
      </c>
    </row>
    <row r="227" spans="1:9" x14ac:dyDescent="0.3">
      <c r="A227">
        <v>2028</v>
      </c>
      <c r="B227">
        <v>9</v>
      </c>
      <c r="C227">
        <v>30</v>
      </c>
      <c r="D227">
        <v>2028.749</v>
      </c>
      <c r="E227">
        <v>26.355894265325599</v>
      </c>
      <c r="F227">
        <v>6.6654340537705297</v>
      </c>
      <c r="G227">
        <v>0</v>
      </c>
      <c r="H227">
        <v>0</v>
      </c>
      <c r="I227" s="11">
        <f t="shared" si="6"/>
        <v>33.021328319096128</v>
      </c>
    </row>
    <row r="228" spans="1:9" x14ac:dyDescent="0.3">
      <c r="A228">
        <v>2028</v>
      </c>
      <c r="B228">
        <v>10</v>
      </c>
      <c r="C228">
        <v>31</v>
      </c>
      <c r="D228">
        <v>2028.8330000000001</v>
      </c>
      <c r="E228">
        <v>26.442947306438398</v>
      </c>
      <c r="F228">
        <v>6.6869464372907501</v>
      </c>
      <c r="G228">
        <v>0</v>
      </c>
      <c r="H228">
        <v>0</v>
      </c>
      <c r="I228" s="11">
        <f t="shared" si="6"/>
        <v>33.129893743729149</v>
      </c>
    </row>
    <row r="229" spans="1:9" x14ac:dyDescent="0.3">
      <c r="A229">
        <v>2028</v>
      </c>
      <c r="B229">
        <v>11</v>
      </c>
      <c r="C229">
        <v>30</v>
      </c>
      <c r="D229">
        <v>2028.915</v>
      </c>
      <c r="E229">
        <v>26.526824580339301</v>
      </c>
      <c r="F229">
        <v>6.7065636382370597</v>
      </c>
      <c r="G229">
        <v>0</v>
      </c>
      <c r="H229">
        <v>0</v>
      </c>
      <c r="I229" s="11">
        <f t="shared" si="6"/>
        <v>33.233388218576358</v>
      </c>
    </row>
    <row r="230" spans="1:9" x14ac:dyDescent="0.3">
      <c r="A230">
        <v>2028</v>
      </c>
      <c r="B230">
        <v>12</v>
      </c>
      <c r="C230">
        <v>31</v>
      </c>
      <c r="D230">
        <v>2029</v>
      </c>
      <c r="E230">
        <v>26.613119921506399</v>
      </c>
      <c r="F230">
        <v>6.7245521751787596</v>
      </c>
      <c r="G230">
        <v>0</v>
      </c>
      <c r="H230">
        <v>0</v>
      </c>
      <c r="I230" s="11">
        <f t="shared" si="6"/>
        <v>33.337672096685161</v>
      </c>
    </row>
    <row r="231" spans="1:9" x14ac:dyDescent="0.3">
      <c r="A231">
        <v>2029</v>
      </c>
      <c r="B231">
        <v>1</v>
      </c>
      <c r="C231">
        <v>31</v>
      </c>
      <c r="D231">
        <v>2029.085</v>
      </c>
      <c r="E231">
        <v>26.699033269692801</v>
      </c>
      <c r="F231">
        <v>6.7393863569627701</v>
      </c>
      <c r="G231">
        <v>0</v>
      </c>
      <c r="H231">
        <v>0</v>
      </c>
      <c r="I231" s="11">
        <f t="shared" si="6"/>
        <v>33.438419626655573</v>
      </c>
    </row>
    <row r="232" spans="1:9" x14ac:dyDescent="0.3">
      <c r="A232">
        <v>2029</v>
      </c>
      <c r="B232">
        <v>2</v>
      </c>
      <c r="C232">
        <v>28</v>
      </c>
      <c r="D232">
        <v>2029.162</v>
      </c>
      <c r="E232">
        <v>26.776305804327801</v>
      </c>
      <c r="F232">
        <v>6.75691395039214</v>
      </c>
      <c r="G232">
        <v>0</v>
      </c>
      <c r="H232">
        <v>0</v>
      </c>
      <c r="I232" s="11">
        <f t="shared" si="6"/>
        <v>33.533219754719944</v>
      </c>
    </row>
    <row r="233" spans="1:9" x14ac:dyDescent="0.3">
      <c r="A233">
        <v>2029</v>
      </c>
      <c r="B233">
        <v>3</v>
      </c>
      <c r="C233">
        <v>31</v>
      </c>
      <c r="D233">
        <v>2029.2470000000001</v>
      </c>
      <c r="E233">
        <v>26.861434217753001</v>
      </c>
      <c r="F233">
        <v>6.7902671171559099</v>
      </c>
      <c r="G233">
        <v>0</v>
      </c>
      <c r="H233">
        <v>0</v>
      </c>
      <c r="I233" s="11">
        <f t="shared" si="6"/>
        <v>33.651701334908907</v>
      </c>
    </row>
    <row r="234" spans="1:9" x14ac:dyDescent="0.3">
      <c r="A234">
        <v>2029</v>
      </c>
      <c r="B234">
        <v>4</v>
      </c>
      <c r="C234">
        <v>30</v>
      </c>
      <c r="D234">
        <v>2029.329</v>
      </c>
      <c r="E234">
        <v>26.943452184231202</v>
      </c>
      <c r="F234">
        <v>6.8301425976518804</v>
      </c>
      <c r="G234">
        <v>0</v>
      </c>
      <c r="H234">
        <v>0</v>
      </c>
      <c r="I234" s="11">
        <f t="shared" si="6"/>
        <v>33.773594781883084</v>
      </c>
    </row>
    <row r="235" spans="1:9" x14ac:dyDescent="0.3">
      <c r="A235">
        <v>2029</v>
      </c>
      <c r="B235">
        <v>5</v>
      </c>
      <c r="C235">
        <v>31</v>
      </c>
      <c r="D235">
        <v>2029.414</v>
      </c>
      <c r="E235">
        <v>27.027836379963802</v>
      </c>
      <c r="F235">
        <v>6.86291719952201</v>
      </c>
      <c r="G235">
        <v>0</v>
      </c>
      <c r="H235">
        <v>0</v>
      </c>
      <c r="I235" s="11">
        <f t="shared" si="6"/>
        <v>33.890753579485811</v>
      </c>
    </row>
    <row r="236" spans="1:9" x14ac:dyDescent="0.3">
      <c r="A236">
        <v>2029</v>
      </c>
      <c r="B236">
        <v>6</v>
      </c>
      <c r="C236">
        <v>30</v>
      </c>
      <c r="D236">
        <v>2029.4960000000001</v>
      </c>
      <c r="E236">
        <v>27.109144554453898</v>
      </c>
      <c r="F236">
        <v>6.8896723908105697</v>
      </c>
      <c r="G236">
        <v>0</v>
      </c>
      <c r="H236">
        <v>0</v>
      </c>
      <c r="I236" s="86">
        <f t="shared" si="6"/>
        <v>33.998816945264466</v>
      </c>
    </row>
    <row r="237" spans="1:9" x14ac:dyDescent="0.3">
      <c r="A237">
        <v>2029</v>
      </c>
      <c r="B237">
        <v>7</v>
      </c>
      <c r="C237">
        <v>31</v>
      </c>
      <c r="D237">
        <v>2029.5809999999999</v>
      </c>
      <c r="E237">
        <v>27.192799221258898</v>
      </c>
      <c r="F237">
        <v>6.9102709147857704</v>
      </c>
      <c r="G237">
        <v>0</v>
      </c>
      <c r="H237">
        <v>0</v>
      </c>
      <c r="I237" s="11">
        <f t="shared" si="6"/>
        <v>34.103070136044671</v>
      </c>
    </row>
    <row r="238" spans="1:9" x14ac:dyDescent="0.3">
      <c r="A238">
        <v>2029</v>
      </c>
      <c r="B238">
        <v>8</v>
      </c>
      <c r="C238">
        <v>31</v>
      </c>
      <c r="D238">
        <v>2029.6659999999999</v>
      </c>
      <c r="E238">
        <v>27.276086137745899</v>
      </c>
      <c r="F238">
        <v>6.93263901604419</v>
      </c>
      <c r="G238">
        <v>0</v>
      </c>
      <c r="H238">
        <v>0</v>
      </c>
      <c r="I238" s="11">
        <f t="shared" si="6"/>
        <v>34.208725153790091</v>
      </c>
    </row>
    <row r="239" spans="1:9" x14ac:dyDescent="0.3">
      <c r="A239">
        <v>2029</v>
      </c>
      <c r="B239">
        <v>9</v>
      </c>
      <c r="C239">
        <v>30</v>
      </c>
      <c r="D239">
        <v>2029.748</v>
      </c>
      <c r="E239">
        <v>27.356338123140301</v>
      </c>
      <c r="F239">
        <v>6.9524384601572304</v>
      </c>
      <c r="G239">
        <v>0</v>
      </c>
      <c r="H239">
        <v>0</v>
      </c>
      <c r="I239" s="11">
        <f t="shared" si="6"/>
        <v>34.308776583297529</v>
      </c>
    </row>
    <row r="240" spans="1:9" x14ac:dyDescent="0.3">
      <c r="A240">
        <v>2029</v>
      </c>
      <c r="B240">
        <v>10</v>
      </c>
      <c r="C240">
        <v>31</v>
      </c>
      <c r="D240">
        <v>2029.8330000000001</v>
      </c>
      <c r="E240">
        <v>27.4389072562028</v>
      </c>
      <c r="F240">
        <v>6.9717601354039997</v>
      </c>
      <c r="G240">
        <v>0</v>
      </c>
      <c r="H240">
        <v>0</v>
      </c>
      <c r="I240" s="11">
        <f t="shared" si="6"/>
        <v>34.4106673916068</v>
      </c>
    </row>
    <row r="241" spans="1:9" x14ac:dyDescent="0.3">
      <c r="A241">
        <v>2029</v>
      </c>
      <c r="B241">
        <v>11</v>
      </c>
      <c r="C241">
        <v>30</v>
      </c>
      <c r="D241">
        <v>2029.915</v>
      </c>
      <c r="E241">
        <v>27.518468351949799</v>
      </c>
      <c r="F241">
        <v>6.9892457551989304</v>
      </c>
      <c r="G241">
        <v>0</v>
      </c>
      <c r="H241">
        <v>0</v>
      </c>
      <c r="I241" s="11">
        <f t="shared" si="6"/>
        <v>34.507714107148729</v>
      </c>
    </row>
    <row r="242" spans="1:9" x14ac:dyDescent="0.3">
      <c r="A242">
        <v>2029</v>
      </c>
      <c r="B242">
        <v>12</v>
      </c>
      <c r="C242">
        <v>31</v>
      </c>
      <c r="D242">
        <v>2030</v>
      </c>
      <c r="E242">
        <v>27.600327414505401</v>
      </c>
      <c r="F242">
        <v>7.0049840589202601</v>
      </c>
      <c r="G242">
        <v>0</v>
      </c>
      <c r="H242">
        <v>0</v>
      </c>
      <c r="I242" s="11">
        <f t="shared" si="6"/>
        <v>34.605311473425658</v>
      </c>
    </row>
    <row r="243" spans="1:9" x14ac:dyDescent="0.3">
      <c r="A243">
        <v>2030</v>
      </c>
      <c r="B243">
        <v>1</v>
      </c>
      <c r="C243">
        <v>31</v>
      </c>
      <c r="D243">
        <v>2030.085</v>
      </c>
      <c r="E243">
        <v>27.681828557631</v>
      </c>
      <c r="F243">
        <v>7.0174793522116303</v>
      </c>
      <c r="G243">
        <v>0</v>
      </c>
      <c r="H243">
        <v>0</v>
      </c>
      <c r="I243" s="11">
        <f t="shared" si="6"/>
        <v>34.699307909842631</v>
      </c>
    </row>
    <row r="244" spans="1:9" x14ac:dyDescent="0.3">
      <c r="A244">
        <v>2030</v>
      </c>
      <c r="B244">
        <v>2</v>
      </c>
      <c r="C244">
        <v>28</v>
      </c>
      <c r="D244">
        <v>2030.162</v>
      </c>
      <c r="E244">
        <v>27.755136490894401</v>
      </c>
      <c r="F244">
        <v>7.0330604508365502</v>
      </c>
      <c r="G244">
        <v>0</v>
      </c>
      <c r="H244">
        <v>0</v>
      </c>
      <c r="I244" s="11">
        <f t="shared" si="6"/>
        <v>34.788196941730952</v>
      </c>
    </row>
    <row r="245" spans="1:9" x14ac:dyDescent="0.3">
      <c r="A245">
        <v>2030</v>
      </c>
      <c r="B245">
        <v>3</v>
      </c>
      <c r="C245">
        <v>31</v>
      </c>
      <c r="D245">
        <v>2030.2470000000001</v>
      </c>
      <c r="E245">
        <v>27.835906911522201</v>
      </c>
      <c r="F245">
        <v>7.0647900862199702</v>
      </c>
      <c r="G245">
        <v>0</v>
      </c>
      <c r="H245">
        <v>0</v>
      </c>
      <c r="I245" s="11">
        <f t="shared" si="6"/>
        <v>34.900696997742173</v>
      </c>
    </row>
    <row r="246" spans="1:9" x14ac:dyDescent="0.3">
      <c r="A246">
        <v>2030</v>
      </c>
      <c r="B246">
        <v>4</v>
      </c>
      <c r="C246">
        <v>30</v>
      </c>
      <c r="D246">
        <v>2030.329</v>
      </c>
      <c r="E246">
        <v>27.9137309874402</v>
      </c>
      <c r="F246">
        <v>7.10341335089318</v>
      </c>
      <c r="G246">
        <v>0</v>
      </c>
      <c r="H246">
        <v>0</v>
      </c>
      <c r="I246" s="11">
        <f t="shared" si="6"/>
        <v>35.017144338333381</v>
      </c>
    </row>
    <row r="247" spans="1:9" x14ac:dyDescent="0.3">
      <c r="A247">
        <v>2030</v>
      </c>
      <c r="B247">
        <v>5</v>
      </c>
      <c r="C247">
        <v>31</v>
      </c>
      <c r="D247">
        <v>2030.414</v>
      </c>
      <c r="E247">
        <v>27.993804780733001</v>
      </c>
      <c r="F247">
        <v>7.1346148312942397</v>
      </c>
      <c r="G247">
        <v>0</v>
      </c>
      <c r="H247">
        <v>0</v>
      </c>
      <c r="I247" s="11">
        <f t="shared" si="6"/>
        <v>35.128419612027244</v>
      </c>
    </row>
    <row r="248" spans="1:9" x14ac:dyDescent="0.3">
      <c r="A248">
        <v>2030</v>
      </c>
      <c r="B248">
        <v>6</v>
      </c>
      <c r="C248">
        <v>30</v>
      </c>
      <c r="D248">
        <v>2030.4960000000001</v>
      </c>
      <c r="E248">
        <v>28.070964041388201</v>
      </c>
      <c r="F248">
        <v>7.1597043025366096</v>
      </c>
      <c r="G248">
        <v>0</v>
      </c>
      <c r="H248">
        <v>0</v>
      </c>
      <c r="I248" s="86">
        <f t="shared" si="6"/>
        <v>35.230668343924812</v>
      </c>
    </row>
    <row r="249" spans="1:9" x14ac:dyDescent="0.3">
      <c r="A249">
        <v>2030</v>
      </c>
      <c r="B249">
        <v>7</v>
      </c>
      <c r="C249">
        <v>31</v>
      </c>
      <c r="D249">
        <v>2030.5809999999999</v>
      </c>
      <c r="E249">
        <v>28.150354593419301</v>
      </c>
      <c r="F249">
        <v>7.1783543281854802</v>
      </c>
      <c r="G249">
        <v>0</v>
      </c>
      <c r="H249">
        <v>0</v>
      </c>
      <c r="I249" s="11">
        <f t="shared" si="6"/>
        <v>35.328708921604779</v>
      </c>
    </row>
    <row r="250" spans="1:9" x14ac:dyDescent="0.3">
      <c r="A250">
        <v>2030</v>
      </c>
      <c r="B250">
        <v>8</v>
      </c>
      <c r="C250">
        <v>31</v>
      </c>
      <c r="D250">
        <v>2030.6659999999999</v>
      </c>
      <c r="E250">
        <v>28.2294007718634</v>
      </c>
      <c r="F250">
        <v>7.1988670136202701</v>
      </c>
      <c r="G250">
        <v>0</v>
      </c>
      <c r="H250">
        <v>0</v>
      </c>
      <c r="I250" s="11">
        <f t="shared" si="6"/>
        <v>35.428267785483669</v>
      </c>
    </row>
    <row r="251" spans="1:9" x14ac:dyDescent="0.3">
      <c r="A251">
        <v>2030</v>
      </c>
      <c r="B251">
        <v>9</v>
      </c>
      <c r="C251">
        <v>30</v>
      </c>
      <c r="D251">
        <v>2030.748</v>
      </c>
      <c r="E251">
        <v>28.305570980486799</v>
      </c>
      <c r="F251">
        <v>7.21683406151379</v>
      </c>
      <c r="G251">
        <v>0</v>
      </c>
      <c r="H251">
        <v>0</v>
      </c>
      <c r="I251" s="11">
        <f t="shared" si="6"/>
        <v>35.522405042000585</v>
      </c>
    </row>
    <row r="252" spans="1:9" x14ac:dyDescent="0.3">
      <c r="A252">
        <v>2030</v>
      </c>
      <c r="B252">
        <v>10</v>
      </c>
      <c r="C252">
        <v>31</v>
      </c>
      <c r="D252">
        <v>2030.8330000000001</v>
      </c>
      <c r="E252">
        <v>28.383945080873598</v>
      </c>
      <c r="F252">
        <v>7.2342514753084401</v>
      </c>
      <c r="G252">
        <v>0</v>
      </c>
      <c r="H252">
        <v>0</v>
      </c>
      <c r="I252" s="11">
        <f t="shared" si="6"/>
        <v>35.618196556182042</v>
      </c>
    </row>
    <row r="253" spans="1:9" x14ac:dyDescent="0.3">
      <c r="A253">
        <v>2030</v>
      </c>
      <c r="B253">
        <v>11</v>
      </c>
      <c r="C253">
        <v>30</v>
      </c>
      <c r="D253">
        <v>2030.915</v>
      </c>
      <c r="E253">
        <v>28.4594684398364</v>
      </c>
      <c r="F253">
        <v>7.2498808834075703</v>
      </c>
      <c r="G253">
        <v>0</v>
      </c>
      <c r="H253">
        <v>0</v>
      </c>
      <c r="I253" s="11">
        <f t="shared" si="6"/>
        <v>35.70934932324397</v>
      </c>
    </row>
    <row r="254" spans="1:9" x14ac:dyDescent="0.3">
      <c r="A254">
        <v>2030</v>
      </c>
      <c r="B254">
        <v>12</v>
      </c>
      <c r="C254">
        <v>31</v>
      </c>
      <c r="D254">
        <v>2031</v>
      </c>
      <c r="E254">
        <v>28.537177778350699</v>
      </c>
      <c r="F254">
        <v>7.2636548363987803</v>
      </c>
      <c r="G254">
        <v>0</v>
      </c>
      <c r="H254">
        <v>0</v>
      </c>
      <c r="I254" s="11">
        <f t="shared" si="6"/>
        <v>35.800832614749481</v>
      </c>
    </row>
    <row r="255" spans="1:9" x14ac:dyDescent="0.3">
      <c r="A255">
        <v>2031</v>
      </c>
      <c r="B255">
        <v>1</v>
      </c>
      <c r="C255">
        <v>31</v>
      </c>
      <c r="D255">
        <v>2031.085</v>
      </c>
      <c r="E255">
        <v>28.614552068693499</v>
      </c>
      <c r="F255">
        <v>7.2741021109106097</v>
      </c>
      <c r="G255">
        <v>0</v>
      </c>
      <c r="H255">
        <v>0</v>
      </c>
      <c r="I255" s="11">
        <f t="shared" si="6"/>
        <v>35.88865417960411</v>
      </c>
    </row>
    <row r="256" spans="1:9" x14ac:dyDescent="0.3">
      <c r="A256">
        <v>2031</v>
      </c>
      <c r="B256">
        <v>2</v>
      </c>
      <c r="C256">
        <v>28</v>
      </c>
      <c r="D256">
        <v>2031.162</v>
      </c>
      <c r="E256">
        <v>28.684152092816898</v>
      </c>
      <c r="F256">
        <v>7.2879822950764597</v>
      </c>
      <c r="G256">
        <v>0</v>
      </c>
      <c r="H256">
        <v>0</v>
      </c>
      <c r="I256" s="11">
        <f t="shared" si="6"/>
        <v>35.972134387893355</v>
      </c>
    </row>
    <row r="257" spans="1:9" x14ac:dyDescent="0.3">
      <c r="A257">
        <v>2031</v>
      </c>
      <c r="B257">
        <v>3</v>
      </c>
      <c r="C257">
        <v>31</v>
      </c>
      <c r="D257">
        <v>2031.2470000000001</v>
      </c>
      <c r="E257">
        <v>28.760847842067001</v>
      </c>
      <c r="F257">
        <v>7.3183110096897099</v>
      </c>
      <c r="G257">
        <v>0</v>
      </c>
      <c r="H257">
        <v>0</v>
      </c>
      <c r="I257" s="11">
        <f t="shared" si="6"/>
        <v>36.079158851756709</v>
      </c>
    </row>
    <row r="258" spans="1:9" x14ac:dyDescent="0.3">
      <c r="A258">
        <v>2031</v>
      </c>
      <c r="B258">
        <v>4</v>
      </c>
      <c r="C258">
        <v>30</v>
      </c>
      <c r="D258">
        <v>2031.329</v>
      </c>
      <c r="E258">
        <v>28.8347492356455</v>
      </c>
      <c r="F258">
        <v>7.3558671563048801</v>
      </c>
      <c r="G258">
        <v>0</v>
      </c>
      <c r="H258">
        <v>0</v>
      </c>
      <c r="I258" s="11">
        <f t="shared" si="6"/>
        <v>36.190616391950378</v>
      </c>
    </row>
    <row r="259" spans="1:9" x14ac:dyDescent="0.3">
      <c r="A259">
        <v>2031</v>
      </c>
      <c r="B259">
        <v>5</v>
      </c>
      <c r="C259">
        <v>31</v>
      </c>
      <c r="D259">
        <v>2031.414</v>
      </c>
      <c r="E259">
        <v>28.910791649121499</v>
      </c>
      <c r="F259">
        <v>7.3857087730698501</v>
      </c>
      <c r="G259">
        <v>0</v>
      </c>
      <c r="H259">
        <v>0</v>
      </c>
      <c r="I259" s="11">
        <f t="shared" si="6"/>
        <v>36.29650042219135</v>
      </c>
    </row>
    <row r="260" spans="1:9" x14ac:dyDescent="0.3">
      <c r="A260">
        <v>2031</v>
      </c>
      <c r="B260">
        <v>6</v>
      </c>
      <c r="C260">
        <v>30</v>
      </c>
      <c r="D260">
        <v>2031.4960000000001</v>
      </c>
      <c r="E260">
        <v>28.984070820917399</v>
      </c>
      <c r="F260">
        <v>7.4093490177189603</v>
      </c>
      <c r="G260">
        <v>0</v>
      </c>
      <c r="H260">
        <v>0</v>
      </c>
      <c r="I260" s="86">
        <f t="shared" si="6"/>
        <v>36.393419838636362</v>
      </c>
    </row>
    <row r="261" spans="1:9" x14ac:dyDescent="0.3">
      <c r="A261">
        <v>2031</v>
      </c>
      <c r="B261">
        <v>7</v>
      </c>
      <c r="C261">
        <v>31</v>
      </c>
      <c r="D261">
        <v>2031.5809999999999</v>
      </c>
      <c r="E261">
        <v>29.059473796776398</v>
      </c>
      <c r="F261">
        <v>7.4262914789434502</v>
      </c>
      <c r="G261">
        <v>0</v>
      </c>
      <c r="H261">
        <v>0</v>
      </c>
      <c r="I261" s="11">
        <f t="shared" si="6"/>
        <v>36.485765275719849</v>
      </c>
    </row>
    <row r="262" spans="1:9" x14ac:dyDescent="0.3">
      <c r="A262">
        <v>2031</v>
      </c>
      <c r="B262">
        <v>8</v>
      </c>
      <c r="C262">
        <v>31</v>
      </c>
      <c r="D262">
        <v>2031.6659999999999</v>
      </c>
      <c r="E262">
        <v>29.134554498230901</v>
      </c>
      <c r="F262">
        <v>7.4451793005475499</v>
      </c>
      <c r="G262">
        <v>0</v>
      </c>
      <c r="H262">
        <v>0</v>
      </c>
      <c r="I262" s="11">
        <f t="shared" si="6"/>
        <v>36.579733798778449</v>
      </c>
    </row>
    <row r="263" spans="1:9" x14ac:dyDescent="0.3">
      <c r="A263">
        <v>2031</v>
      </c>
      <c r="B263">
        <v>9</v>
      </c>
      <c r="C263">
        <v>30</v>
      </c>
      <c r="D263">
        <v>2031.748</v>
      </c>
      <c r="E263">
        <v>29.2069080865366</v>
      </c>
      <c r="F263">
        <v>7.4615379861431004</v>
      </c>
      <c r="G263">
        <v>0</v>
      </c>
      <c r="H263">
        <v>0</v>
      </c>
      <c r="I263" s="11">
        <f t="shared" si="6"/>
        <v>36.6684460726797</v>
      </c>
    </row>
    <row r="264" spans="1:9" x14ac:dyDescent="0.3">
      <c r="A264">
        <v>2031</v>
      </c>
      <c r="B264">
        <v>10</v>
      </c>
      <c r="C264">
        <v>31</v>
      </c>
      <c r="D264">
        <v>2031.8330000000001</v>
      </c>
      <c r="E264">
        <v>29.2813598747009</v>
      </c>
      <c r="F264">
        <v>7.4772812982099301</v>
      </c>
      <c r="G264">
        <v>0</v>
      </c>
      <c r="H264">
        <v>0</v>
      </c>
      <c r="I264" s="11">
        <f t="shared" si="6"/>
        <v>36.758641172910828</v>
      </c>
    </row>
    <row r="265" spans="1:9" x14ac:dyDescent="0.3">
      <c r="A265">
        <v>2031</v>
      </c>
      <c r="B265">
        <v>11</v>
      </c>
      <c r="C265">
        <v>30</v>
      </c>
      <c r="D265">
        <v>2031.915</v>
      </c>
      <c r="E265">
        <v>29.353108178891699</v>
      </c>
      <c r="F265">
        <v>7.4912762139503597</v>
      </c>
      <c r="G265">
        <v>0</v>
      </c>
      <c r="H265">
        <v>0</v>
      </c>
      <c r="I265" s="11">
        <f t="shared" si="6"/>
        <v>36.844384392842059</v>
      </c>
    </row>
    <row r="266" spans="1:9" x14ac:dyDescent="0.3">
      <c r="A266">
        <v>2031</v>
      </c>
      <c r="B266">
        <v>12</v>
      </c>
      <c r="C266">
        <v>31</v>
      </c>
      <c r="D266">
        <v>2032</v>
      </c>
      <c r="E266">
        <v>29.4269379417259</v>
      </c>
      <c r="F266">
        <v>7.5033166200302697</v>
      </c>
      <c r="G266">
        <v>0</v>
      </c>
      <c r="H266">
        <v>0</v>
      </c>
      <c r="I266" s="11">
        <f t="shared" si="6"/>
        <v>36.930254561756172</v>
      </c>
    </row>
    <row r="267" spans="1:9" x14ac:dyDescent="0.3">
      <c r="A267">
        <v>2032</v>
      </c>
      <c r="B267">
        <v>1</v>
      </c>
      <c r="C267">
        <v>31</v>
      </c>
      <c r="D267">
        <v>2032.085</v>
      </c>
      <c r="E267">
        <v>29.500454209880601</v>
      </c>
      <c r="F267">
        <v>7.5119514858455299</v>
      </c>
      <c r="G267">
        <v>0</v>
      </c>
      <c r="H267">
        <v>0</v>
      </c>
      <c r="I267" s="11">
        <f t="shared" ref="I267:I311" si="7">E267+F267</f>
        <v>37.01240569572613</v>
      </c>
    </row>
    <row r="268" spans="1:9" x14ac:dyDescent="0.3">
      <c r="A268">
        <v>2032</v>
      </c>
      <c r="B268">
        <v>2</v>
      </c>
      <c r="C268">
        <v>29</v>
      </c>
      <c r="D268">
        <v>2032.164</v>
      </c>
      <c r="E268">
        <v>29.568945235113599</v>
      </c>
      <c r="F268">
        <v>7.5252118350586796</v>
      </c>
      <c r="G268">
        <v>0</v>
      </c>
      <c r="H268">
        <v>0</v>
      </c>
      <c r="I268" s="11">
        <f t="shared" si="7"/>
        <v>37.09415707017228</v>
      </c>
    </row>
    <row r="269" spans="1:9" x14ac:dyDescent="0.3">
      <c r="A269">
        <v>2032</v>
      </c>
      <c r="B269">
        <v>3</v>
      </c>
      <c r="C269">
        <v>31</v>
      </c>
      <c r="D269">
        <v>2032.249</v>
      </c>
      <c r="E269">
        <v>29.641818087530002</v>
      </c>
      <c r="F269">
        <v>7.5547146833440797</v>
      </c>
      <c r="G269">
        <v>0</v>
      </c>
      <c r="H269">
        <v>0</v>
      </c>
      <c r="I269" s="11">
        <f t="shared" si="7"/>
        <v>37.196532770874079</v>
      </c>
    </row>
    <row r="270" spans="1:9" x14ac:dyDescent="0.3">
      <c r="A270">
        <v>2032</v>
      </c>
      <c r="B270">
        <v>4</v>
      </c>
      <c r="C270">
        <v>30</v>
      </c>
      <c r="D270">
        <v>2032.3309999999999</v>
      </c>
      <c r="E270">
        <v>29.7120424253783</v>
      </c>
      <c r="F270">
        <v>7.5910225430057698</v>
      </c>
      <c r="G270">
        <v>0</v>
      </c>
      <c r="H270">
        <v>0</v>
      </c>
      <c r="I270" s="11">
        <f t="shared" si="7"/>
        <v>37.303064968384071</v>
      </c>
    </row>
    <row r="271" spans="1:9" x14ac:dyDescent="0.3">
      <c r="A271">
        <v>2032</v>
      </c>
      <c r="B271">
        <v>5</v>
      </c>
      <c r="C271">
        <v>31</v>
      </c>
      <c r="D271">
        <v>2032.415</v>
      </c>
      <c r="E271">
        <v>29.784306015544001</v>
      </c>
      <c r="F271">
        <v>7.6195191172634198</v>
      </c>
      <c r="G271">
        <v>0</v>
      </c>
      <c r="H271">
        <v>0</v>
      </c>
      <c r="I271" s="11">
        <f t="shared" si="7"/>
        <v>37.40382513280742</v>
      </c>
    </row>
    <row r="272" spans="1:9" x14ac:dyDescent="0.3">
      <c r="A272">
        <v>2032</v>
      </c>
      <c r="B272">
        <v>6</v>
      </c>
      <c r="C272">
        <v>30</v>
      </c>
      <c r="D272">
        <v>2032.4970000000001</v>
      </c>
      <c r="E272">
        <v>29.853948286439799</v>
      </c>
      <c r="F272">
        <v>7.6415712424999498</v>
      </c>
      <c r="G272">
        <v>0</v>
      </c>
      <c r="H272">
        <v>0</v>
      </c>
      <c r="I272" s="86">
        <f t="shared" si="7"/>
        <v>37.495519528939752</v>
      </c>
    </row>
    <row r="273" spans="1:9" x14ac:dyDescent="0.3">
      <c r="A273">
        <v>2032</v>
      </c>
      <c r="B273">
        <v>7</v>
      </c>
      <c r="C273">
        <v>31</v>
      </c>
      <c r="D273">
        <v>2032.5820000000001</v>
      </c>
      <c r="E273">
        <v>29.925613713836999</v>
      </c>
      <c r="F273">
        <v>7.6570968571879501</v>
      </c>
      <c r="G273">
        <v>0</v>
      </c>
      <c r="H273">
        <v>0</v>
      </c>
      <c r="I273" s="11">
        <f t="shared" si="7"/>
        <v>37.582710571024947</v>
      </c>
    </row>
    <row r="274" spans="1:9" x14ac:dyDescent="0.3">
      <c r="A274">
        <v>2032</v>
      </c>
      <c r="B274">
        <v>8</v>
      </c>
      <c r="C274">
        <v>31</v>
      </c>
      <c r="D274">
        <v>2032.6669999999999</v>
      </c>
      <c r="E274">
        <v>29.9969776748733</v>
      </c>
      <c r="F274">
        <v>7.6744744210888101</v>
      </c>
      <c r="G274">
        <v>0</v>
      </c>
      <c r="H274">
        <v>0</v>
      </c>
      <c r="I274" s="11">
        <f t="shared" si="7"/>
        <v>37.67145209596211</v>
      </c>
    </row>
    <row r="275" spans="1:9" x14ac:dyDescent="0.3">
      <c r="A275">
        <v>2032</v>
      </c>
      <c r="B275">
        <v>9</v>
      </c>
      <c r="C275">
        <v>30</v>
      </c>
      <c r="D275">
        <v>2032.749</v>
      </c>
      <c r="E275">
        <v>30.065754123058699</v>
      </c>
      <c r="F275">
        <v>7.6893697137837798</v>
      </c>
      <c r="G275">
        <v>0</v>
      </c>
      <c r="H275">
        <v>0</v>
      </c>
      <c r="I275" s="11">
        <f t="shared" si="7"/>
        <v>37.755123836842479</v>
      </c>
    </row>
    <row r="276" spans="1:9" x14ac:dyDescent="0.3">
      <c r="A276">
        <v>2032</v>
      </c>
      <c r="B276">
        <v>10</v>
      </c>
      <c r="C276">
        <v>31</v>
      </c>
      <c r="D276">
        <v>2032.8330000000001</v>
      </c>
      <c r="E276">
        <v>30.136529785186699</v>
      </c>
      <c r="F276">
        <v>7.7035874778070097</v>
      </c>
      <c r="G276">
        <v>0</v>
      </c>
      <c r="H276">
        <v>0</v>
      </c>
      <c r="I276" s="11">
        <f t="shared" si="7"/>
        <v>37.840117262993708</v>
      </c>
    </row>
    <row r="277" spans="1:9" x14ac:dyDescent="0.3">
      <c r="A277">
        <v>2032</v>
      </c>
      <c r="B277">
        <v>11</v>
      </c>
      <c r="C277">
        <v>30</v>
      </c>
      <c r="D277">
        <v>2032.915</v>
      </c>
      <c r="E277">
        <v>30.2047400413128</v>
      </c>
      <c r="F277">
        <v>7.7160710508029204</v>
      </c>
      <c r="G277">
        <v>0</v>
      </c>
      <c r="H277">
        <v>0</v>
      </c>
      <c r="I277" s="11">
        <f t="shared" si="7"/>
        <v>37.92081109211572</v>
      </c>
    </row>
    <row r="278" spans="1:9" x14ac:dyDescent="0.3">
      <c r="A278">
        <v>2032</v>
      </c>
      <c r="B278">
        <v>12</v>
      </c>
      <c r="C278">
        <v>31</v>
      </c>
      <c r="D278">
        <v>2033</v>
      </c>
      <c r="E278">
        <v>30.274933853915002</v>
      </c>
      <c r="F278">
        <v>7.7263970429032502</v>
      </c>
      <c r="G278">
        <v>0</v>
      </c>
      <c r="H278">
        <v>0</v>
      </c>
      <c r="I278" s="11">
        <f t="shared" si="7"/>
        <v>38.001330896818253</v>
      </c>
    </row>
    <row r="279" spans="1:9" x14ac:dyDescent="0.3">
      <c r="A279">
        <v>2033</v>
      </c>
      <c r="B279">
        <v>1</v>
      </c>
      <c r="C279">
        <v>31</v>
      </c>
      <c r="D279">
        <v>2033.085</v>
      </c>
      <c r="E279">
        <v>30.344834420942401</v>
      </c>
      <c r="F279">
        <v>7.7335284725858102</v>
      </c>
      <c r="G279">
        <v>0</v>
      </c>
      <c r="H279">
        <v>0</v>
      </c>
      <c r="I279" s="11">
        <f t="shared" si="7"/>
        <v>38.078362893528208</v>
      </c>
    </row>
    <row r="280" spans="1:9" x14ac:dyDescent="0.3">
      <c r="A280">
        <v>2033</v>
      </c>
      <c r="B280">
        <v>2</v>
      </c>
      <c r="C280">
        <v>28</v>
      </c>
      <c r="D280">
        <v>2033.162</v>
      </c>
      <c r="E280">
        <v>30.407719728410399</v>
      </c>
      <c r="F280">
        <v>7.7450976576594401</v>
      </c>
      <c r="G280">
        <v>0</v>
      </c>
      <c r="H280">
        <v>0</v>
      </c>
      <c r="I280" s="11">
        <f t="shared" si="7"/>
        <v>38.152817386069842</v>
      </c>
    </row>
    <row r="281" spans="1:9" x14ac:dyDescent="0.3">
      <c r="A281">
        <v>2033</v>
      </c>
      <c r="B281">
        <v>3</v>
      </c>
      <c r="C281">
        <v>31</v>
      </c>
      <c r="D281">
        <v>2033.2470000000001</v>
      </c>
      <c r="E281">
        <v>30.477030236665598</v>
      </c>
      <c r="F281">
        <v>7.7735326456068901</v>
      </c>
      <c r="G281">
        <v>0</v>
      </c>
      <c r="H281">
        <v>0</v>
      </c>
      <c r="I281" s="11">
        <f t="shared" si="7"/>
        <v>38.25056288227249</v>
      </c>
    </row>
    <row r="282" spans="1:9" x14ac:dyDescent="0.3">
      <c r="A282">
        <v>2033</v>
      </c>
      <c r="B282">
        <v>4</v>
      </c>
      <c r="C282">
        <v>30</v>
      </c>
      <c r="D282">
        <v>2033.329</v>
      </c>
      <c r="E282">
        <v>30.543826569797499</v>
      </c>
      <c r="F282">
        <v>7.8090307088937703</v>
      </c>
      <c r="G282">
        <v>0</v>
      </c>
      <c r="H282">
        <v>0</v>
      </c>
      <c r="I282" s="11">
        <f t="shared" si="7"/>
        <v>38.352857278691268</v>
      </c>
    </row>
    <row r="283" spans="1:9" x14ac:dyDescent="0.3">
      <c r="A283">
        <v>2033</v>
      </c>
      <c r="B283">
        <v>5</v>
      </c>
      <c r="C283">
        <v>31</v>
      </c>
      <c r="D283">
        <v>2033.414</v>
      </c>
      <c r="E283">
        <v>30.612567297888301</v>
      </c>
      <c r="F283">
        <v>7.8364740680237102</v>
      </c>
      <c r="G283">
        <v>0</v>
      </c>
      <c r="H283">
        <v>0</v>
      </c>
      <c r="I283" s="11">
        <f t="shared" si="7"/>
        <v>38.449041365912009</v>
      </c>
    </row>
    <row r="284" spans="1:9" x14ac:dyDescent="0.3">
      <c r="A284">
        <v>2033</v>
      </c>
      <c r="B284">
        <v>6</v>
      </c>
      <c r="C284">
        <v>30</v>
      </c>
      <c r="D284">
        <v>2033.4960000000001</v>
      </c>
      <c r="E284">
        <v>30.6788190260006</v>
      </c>
      <c r="F284">
        <v>7.8573871918752198</v>
      </c>
      <c r="G284">
        <v>0</v>
      </c>
      <c r="H284">
        <v>0</v>
      </c>
      <c r="I284" s="86">
        <f t="shared" si="7"/>
        <v>38.536206217875822</v>
      </c>
    </row>
    <row r="285" spans="1:9" x14ac:dyDescent="0.3">
      <c r="A285">
        <v>2033</v>
      </c>
      <c r="B285">
        <v>7</v>
      </c>
      <c r="C285">
        <v>31</v>
      </c>
      <c r="D285">
        <v>2033.5809999999999</v>
      </c>
      <c r="E285">
        <v>30.747000084396699</v>
      </c>
      <c r="F285">
        <v>7.8715648075336899</v>
      </c>
      <c r="G285">
        <v>0</v>
      </c>
      <c r="H285">
        <v>0</v>
      </c>
      <c r="I285" s="11">
        <f t="shared" si="7"/>
        <v>38.61856489193039</v>
      </c>
    </row>
    <row r="286" spans="1:9" x14ac:dyDescent="0.3">
      <c r="A286">
        <v>2033</v>
      </c>
      <c r="B286">
        <v>8</v>
      </c>
      <c r="C286">
        <v>31</v>
      </c>
      <c r="D286">
        <v>2033.6659999999999</v>
      </c>
      <c r="E286">
        <v>30.814899071967801</v>
      </c>
      <c r="F286">
        <v>7.8876575231255197</v>
      </c>
      <c r="G286">
        <v>0</v>
      </c>
      <c r="H286">
        <v>0</v>
      </c>
      <c r="I286" s="11">
        <f t="shared" si="7"/>
        <v>38.70255659509332</v>
      </c>
    </row>
    <row r="287" spans="1:9" x14ac:dyDescent="0.3">
      <c r="A287">
        <v>2033</v>
      </c>
      <c r="B287">
        <v>9</v>
      </c>
      <c r="C287">
        <v>30</v>
      </c>
      <c r="D287">
        <v>2033.748</v>
      </c>
      <c r="E287">
        <v>30.8803406816746</v>
      </c>
      <c r="F287">
        <v>7.9012768592401699</v>
      </c>
      <c r="G287">
        <v>0</v>
      </c>
      <c r="H287">
        <v>0</v>
      </c>
      <c r="I287" s="11">
        <f t="shared" si="7"/>
        <v>38.781617540914766</v>
      </c>
    </row>
    <row r="288" spans="1:9" x14ac:dyDescent="0.3">
      <c r="A288">
        <v>2033</v>
      </c>
      <c r="B288">
        <v>10</v>
      </c>
      <c r="C288">
        <v>31</v>
      </c>
      <c r="D288">
        <v>2033.8330000000001</v>
      </c>
      <c r="E288">
        <v>30.947689208933198</v>
      </c>
      <c r="F288">
        <v>7.9141629395344397</v>
      </c>
      <c r="G288">
        <v>0</v>
      </c>
      <c r="H288">
        <v>0</v>
      </c>
      <c r="I288" s="11">
        <f t="shared" si="7"/>
        <v>38.861852148467641</v>
      </c>
    </row>
    <row r="289" spans="1:9" x14ac:dyDescent="0.3">
      <c r="A289">
        <v>2033</v>
      </c>
      <c r="B289">
        <v>11</v>
      </c>
      <c r="C289">
        <v>30</v>
      </c>
      <c r="D289">
        <v>2033.915</v>
      </c>
      <c r="E289">
        <v>31.012601035312201</v>
      </c>
      <c r="F289">
        <v>7.9253423345705496</v>
      </c>
      <c r="G289">
        <v>0</v>
      </c>
      <c r="H289">
        <v>0</v>
      </c>
      <c r="I289" s="11">
        <f t="shared" si="7"/>
        <v>38.937943369882753</v>
      </c>
    </row>
    <row r="290" spans="1:9" x14ac:dyDescent="0.3">
      <c r="A290">
        <v>2033</v>
      </c>
      <c r="B290">
        <v>12</v>
      </c>
      <c r="C290">
        <v>31</v>
      </c>
      <c r="D290">
        <v>2034</v>
      </c>
      <c r="E290">
        <v>31.079405119584202</v>
      </c>
      <c r="F290">
        <v>7.93427737314338</v>
      </c>
      <c r="G290">
        <v>0</v>
      </c>
      <c r="H290">
        <v>0</v>
      </c>
      <c r="I290" s="11">
        <f t="shared" si="7"/>
        <v>39.013682492727582</v>
      </c>
    </row>
    <row r="291" spans="1:9" x14ac:dyDescent="0.3">
      <c r="A291">
        <v>2034</v>
      </c>
      <c r="B291">
        <v>1</v>
      </c>
      <c r="C291">
        <v>31</v>
      </c>
      <c r="D291">
        <v>2034.085</v>
      </c>
      <c r="E291">
        <v>31.145934803154098</v>
      </c>
      <c r="F291">
        <v>7.9399544243774498</v>
      </c>
      <c r="G291">
        <v>0</v>
      </c>
      <c r="H291">
        <v>0</v>
      </c>
      <c r="I291" s="11">
        <f t="shared" si="7"/>
        <v>39.085889227531545</v>
      </c>
    </row>
    <row r="292" spans="1:9" x14ac:dyDescent="0.3">
      <c r="A292">
        <v>2034</v>
      </c>
      <c r="B292">
        <v>2</v>
      </c>
      <c r="C292">
        <v>28</v>
      </c>
      <c r="D292">
        <v>2034.162</v>
      </c>
      <c r="E292">
        <v>31.205791547043699</v>
      </c>
      <c r="F292">
        <v>7.9503322329967396</v>
      </c>
      <c r="G292">
        <v>0</v>
      </c>
      <c r="H292">
        <v>0</v>
      </c>
      <c r="I292" s="11">
        <f t="shared" si="7"/>
        <v>39.156123780040438</v>
      </c>
    </row>
    <row r="293" spans="1:9" x14ac:dyDescent="0.3">
      <c r="A293">
        <v>2034</v>
      </c>
      <c r="B293">
        <v>3</v>
      </c>
      <c r="C293">
        <v>31</v>
      </c>
      <c r="D293">
        <v>2034.2470000000001</v>
      </c>
      <c r="E293">
        <v>31.271771117014801</v>
      </c>
      <c r="F293">
        <v>7.9778176319694101</v>
      </c>
      <c r="G293">
        <v>0</v>
      </c>
      <c r="H293">
        <v>0</v>
      </c>
      <c r="I293" s="11">
        <f t="shared" si="7"/>
        <v>39.249588748984209</v>
      </c>
    </row>
    <row r="294" spans="1:9" x14ac:dyDescent="0.3">
      <c r="A294">
        <v>2034</v>
      </c>
      <c r="B294">
        <v>4</v>
      </c>
      <c r="C294">
        <v>30</v>
      </c>
      <c r="D294">
        <v>2034.329</v>
      </c>
      <c r="E294">
        <v>31.3353620338609</v>
      </c>
      <c r="F294">
        <v>8.0126028700965595</v>
      </c>
      <c r="G294">
        <v>0</v>
      </c>
      <c r="H294">
        <v>0</v>
      </c>
      <c r="I294" s="11">
        <f t="shared" si="7"/>
        <v>39.347964903957461</v>
      </c>
    </row>
    <row r="295" spans="1:9" x14ac:dyDescent="0.3">
      <c r="A295">
        <v>2034</v>
      </c>
      <c r="B295">
        <v>5</v>
      </c>
      <c r="C295">
        <v>31</v>
      </c>
      <c r="D295">
        <v>2034.414</v>
      </c>
      <c r="E295">
        <v>31.4008085953406</v>
      </c>
      <c r="F295">
        <v>8.0391080245587592</v>
      </c>
      <c r="G295">
        <v>0</v>
      </c>
      <c r="H295">
        <v>0</v>
      </c>
      <c r="I295" s="11">
        <f t="shared" si="7"/>
        <v>39.439916619899357</v>
      </c>
    </row>
    <row r="296" spans="1:9" x14ac:dyDescent="0.3">
      <c r="A296">
        <v>2034</v>
      </c>
      <c r="B296">
        <v>6</v>
      </c>
      <c r="C296">
        <v>30</v>
      </c>
      <c r="D296">
        <v>2034.4960000000001</v>
      </c>
      <c r="E296">
        <v>31.463889831297301</v>
      </c>
      <c r="F296">
        <v>8.0590011568545403</v>
      </c>
      <c r="G296">
        <v>0</v>
      </c>
      <c r="H296">
        <v>0</v>
      </c>
      <c r="I296" s="86">
        <f t="shared" si="7"/>
        <v>39.522890988151843</v>
      </c>
    </row>
    <row r="297" spans="1:9" x14ac:dyDescent="0.3">
      <c r="A297">
        <v>2034</v>
      </c>
      <c r="B297">
        <v>7</v>
      </c>
      <c r="C297">
        <v>31</v>
      </c>
      <c r="D297">
        <v>2034.5809999999999</v>
      </c>
      <c r="E297">
        <v>31.5288125995027</v>
      </c>
      <c r="F297">
        <v>8.07196511819485</v>
      </c>
      <c r="G297">
        <v>0</v>
      </c>
      <c r="H297">
        <v>0</v>
      </c>
      <c r="I297" s="11">
        <f t="shared" si="7"/>
        <v>39.600777717697554</v>
      </c>
    </row>
    <row r="298" spans="1:9" x14ac:dyDescent="0.3">
      <c r="A298">
        <v>2034</v>
      </c>
      <c r="B298">
        <v>8</v>
      </c>
      <c r="C298">
        <v>31</v>
      </c>
      <c r="D298">
        <v>2034.6659999999999</v>
      </c>
      <c r="E298">
        <v>31.593471367359498</v>
      </c>
      <c r="F298">
        <v>8.0869017042597502</v>
      </c>
      <c r="G298">
        <v>0</v>
      </c>
      <c r="H298">
        <v>0</v>
      </c>
      <c r="I298" s="11">
        <f t="shared" si="7"/>
        <v>39.68037307161925</v>
      </c>
    </row>
    <row r="299" spans="1:9" x14ac:dyDescent="0.3">
      <c r="A299">
        <v>2034</v>
      </c>
      <c r="B299">
        <v>9</v>
      </c>
      <c r="C299">
        <v>30</v>
      </c>
      <c r="D299">
        <v>2034.748</v>
      </c>
      <c r="E299">
        <v>31.655794383794699</v>
      </c>
      <c r="F299">
        <v>8.0993710088624802</v>
      </c>
      <c r="G299">
        <v>0</v>
      </c>
      <c r="H299">
        <v>0</v>
      </c>
      <c r="I299" s="11">
        <f t="shared" si="7"/>
        <v>39.755165392657176</v>
      </c>
    </row>
    <row r="300" spans="1:9" x14ac:dyDescent="0.3">
      <c r="A300">
        <v>2034</v>
      </c>
      <c r="B300">
        <v>10</v>
      </c>
      <c r="C300">
        <v>31</v>
      </c>
      <c r="D300">
        <v>2034.8330000000001</v>
      </c>
      <c r="E300">
        <v>31.719937932671201</v>
      </c>
      <c r="F300">
        <v>8.1110554713867504</v>
      </c>
      <c r="G300">
        <v>0</v>
      </c>
      <c r="H300">
        <v>0</v>
      </c>
      <c r="I300" s="11">
        <f t="shared" si="7"/>
        <v>39.830993404057949</v>
      </c>
    </row>
    <row r="301" spans="1:9" x14ac:dyDescent="0.3">
      <c r="A301">
        <v>2034</v>
      </c>
      <c r="B301">
        <v>11</v>
      </c>
      <c r="C301">
        <v>30</v>
      </c>
      <c r="D301">
        <v>2034.915</v>
      </c>
      <c r="E301">
        <v>31.781765067868701</v>
      </c>
      <c r="F301">
        <v>8.1210567071002302</v>
      </c>
      <c r="G301">
        <v>0</v>
      </c>
      <c r="H301">
        <v>0</v>
      </c>
      <c r="I301" s="11">
        <f t="shared" si="7"/>
        <v>39.902821774968928</v>
      </c>
    </row>
    <row r="302" spans="1:9" x14ac:dyDescent="0.3">
      <c r="A302">
        <v>2034</v>
      </c>
      <c r="B302">
        <v>12</v>
      </c>
      <c r="C302">
        <v>31</v>
      </c>
      <c r="D302">
        <v>2035</v>
      </c>
      <c r="E302">
        <v>31.845398997467999</v>
      </c>
      <c r="F302">
        <v>8.1287331139218804</v>
      </c>
      <c r="G302">
        <v>0</v>
      </c>
      <c r="H302">
        <v>0</v>
      </c>
      <c r="I302" s="11">
        <f t="shared" si="7"/>
        <v>39.974132111389878</v>
      </c>
    </row>
    <row r="303" spans="1:9" x14ac:dyDescent="0.3">
      <c r="A303">
        <v>2035</v>
      </c>
      <c r="B303">
        <v>1</v>
      </c>
      <c r="C303">
        <v>31</v>
      </c>
      <c r="D303">
        <v>2035.085</v>
      </c>
      <c r="E303">
        <v>31.908776064552502</v>
      </c>
      <c r="F303">
        <v>8.13309162673416</v>
      </c>
      <c r="G303">
        <v>0</v>
      </c>
      <c r="H303">
        <v>0</v>
      </c>
      <c r="I303" s="11">
        <f t="shared" si="7"/>
        <v>40.041867691286662</v>
      </c>
    </row>
    <row r="304" spans="1:9" x14ac:dyDescent="0.3">
      <c r="A304">
        <v>2035</v>
      </c>
      <c r="B304">
        <v>2</v>
      </c>
      <c r="C304">
        <v>28</v>
      </c>
      <c r="D304">
        <v>2035.162</v>
      </c>
      <c r="E304">
        <v>31.965800269561999</v>
      </c>
      <c r="F304">
        <v>8.1423913144954394</v>
      </c>
      <c r="G304">
        <v>0</v>
      </c>
      <c r="H304">
        <v>0</v>
      </c>
      <c r="I304" s="11">
        <f t="shared" si="7"/>
        <v>40.108191584057437</v>
      </c>
    </row>
    <row r="305" spans="1:9" x14ac:dyDescent="0.3">
      <c r="A305">
        <v>2035</v>
      </c>
      <c r="B305">
        <v>3</v>
      </c>
      <c r="C305">
        <v>31</v>
      </c>
      <c r="D305">
        <v>2035.2470000000001</v>
      </c>
      <c r="E305">
        <v>32.028665070144598</v>
      </c>
      <c r="F305">
        <v>8.1690257547406997</v>
      </c>
      <c r="G305">
        <v>0</v>
      </c>
      <c r="H305">
        <v>0</v>
      </c>
      <c r="I305" s="11">
        <f t="shared" si="7"/>
        <v>40.197690824885299</v>
      </c>
    </row>
    <row r="306" spans="1:9" x14ac:dyDescent="0.3">
      <c r="A306">
        <v>2035</v>
      </c>
      <c r="B306">
        <v>4</v>
      </c>
      <c r="C306">
        <v>30</v>
      </c>
      <c r="D306">
        <v>2035.329</v>
      </c>
      <c r="E306">
        <v>32.089257490461797</v>
      </c>
      <c r="F306">
        <v>8.2031783808434398</v>
      </c>
      <c r="G306">
        <v>0</v>
      </c>
      <c r="H306">
        <v>0</v>
      </c>
      <c r="I306" s="11">
        <f t="shared" si="7"/>
        <v>40.292435871305237</v>
      </c>
    </row>
    <row r="307" spans="1:9" x14ac:dyDescent="0.3">
      <c r="A307">
        <v>2035</v>
      </c>
      <c r="B307">
        <v>5</v>
      </c>
      <c r="C307">
        <v>31</v>
      </c>
      <c r="D307">
        <v>2035.414</v>
      </c>
      <c r="E307">
        <v>32.1516224368388</v>
      </c>
      <c r="F307">
        <v>8.2288414719150502</v>
      </c>
      <c r="G307">
        <v>0</v>
      </c>
      <c r="H307">
        <v>0</v>
      </c>
      <c r="I307" s="11">
        <f t="shared" si="7"/>
        <v>40.380463908753853</v>
      </c>
    </row>
    <row r="308" spans="1:9" x14ac:dyDescent="0.3">
      <c r="A308">
        <v>2035</v>
      </c>
      <c r="B308">
        <v>6</v>
      </c>
      <c r="C308">
        <v>30</v>
      </c>
      <c r="D308">
        <v>2035.4960000000001</v>
      </c>
      <c r="E308">
        <v>32.2117376552129</v>
      </c>
      <c r="F308">
        <v>8.2478146430102193</v>
      </c>
      <c r="G308">
        <v>0</v>
      </c>
      <c r="H308">
        <v>0</v>
      </c>
      <c r="I308" s="86">
        <f t="shared" si="7"/>
        <v>40.459552298223116</v>
      </c>
    </row>
    <row r="309" spans="1:9" x14ac:dyDescent="0.3">
      <c r="A309">
        <v>2035</v>
      </c>
      <c r="B309">
        <v>7</v>
      </c>
      <c r="C309">
        <v>31</v>
      </c>
      <c r="D309">
        <v>2035.5809999999999</v>
      </c>
      <c r="E309">
        <v>32.273612167117399</v>
      </c>
      <c r="F309">
        <v>8.2596785479382806</v>
      </c>
      <c r="G309">
        <v>0</v>
      </c>
      <c r="H309">
        <v>0</v>
      </c>
      <c r="I309" s="11">
        <f t="shared" si="7"/>
        <v>40.533290715055678</v>
      </c>
    </row>
    <row r="310" spans="1:9" x14ac:dyDescent="0.3">
      <c r="A310">
        <v>2035</v>
      </c>
      <c r="B310">
        <v>8</v>
      </c>
      <c r="C310">
        <v>31</v>
      </c>
      <c r="D310">
        <v>2035.6659999999999</v>
      </c>
      <c r="E310">
        <v>32.335239476843199</v>
      </c>
      <c r="F310">
        <v>8.2735678113130504</v>
      </c>
      <c r="G310">
        <v>0</v>
      </c>
      <c r="H310">
        <v>0</v>
      </c>
      <c r="I310" s="11">
        <f t="shared" si="7"/>
        <v>40.60880728815625</v>
      </c>
    </row>
    <row r="311" spans="1:9" x14ac:dyDescent="0.3">
      <c r="I311" s="11">
        <f t="shared" si="7"/>
        <v>0</v>
      </c>
    </row>
    <row r="315" spans="1:9" x14ac:dyDescent="0.3">
      <c r="I315" s="11">
        <f>SUM(I10:I311)</f>
        <v>6225.4549565718698</v>
      </c>
    </row>
    <row r="320" spans="1:9" x14ac:dyDescent="0.3">
      <c r="I320" s="86"/>
    </row>
    <row r="332" spans="9:9" x14ac:dyDescent="0.3">
      <c r="I332" s="86"/>
    </row>
    <row r="344" spans="9:9" x14ac:dyDescent="0.3">
      <c r="I344" s="86"/>
    </row>
    <row r="356" spans="9:9" x14ac:dyDescent="0.3">
      <c r="I356" s="86"/>
    </row>
  </sheetData>
  <pageMargins left="0.70866141732283472" right="0.70866141732283472" top="0.74803149606299213" bottom="0.74803149606299213" header="0.31496062992125984" footer="0.31496062992125984"/>
  <pageSetup paperSize="9" scale="87" fitToHeight="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8:R311"/>
  <sheetViews>
    <sheetView topLeftCell="A7" workbookViewId="0">
      <selection activeCell="A126" sqref="A126"/>
    </sheetView>
  </sheetViews>
  <sheetFormatPr defaultColWidth="9" defaultRowHeight="16.5" x14ac:dyDescent="0.3"/>
  <cols>
    <col min="1" max="1" width="73.28515625" bestFit="1" customWidth="1"/>
    <col min="2" max="2" width="6.85546875" bestFit="1" customWidth="1"/>
    <col min="3" max="3" width="4.28515625" bestFit="1" customWidth="1"/>
    <col min="4" max="4" width="9.140625"/>
    <col min="5" max="5" width="14.42578125" bestFit="1" customWidth="1"/>
    <col min="6" max="6" width="21.42578125" bestFit="1" customWidth="1"/>
    <col min="7" max="7" width="22.140625" bestFit="1" customWidth="1"/>
    <col min="8" max="8" width="22.5703125" bestFit="1" customWidth="1"/>
    <col min="9" max="9" width="21.140625" style="11" bestFit="1" customWidth="1"/>
    <col min="10" max="10" width="9" style="11"/>
    <col min="11" max="11" width="5" style="2" bestFit="1" customWidth="1"/>
    <col min="12" max="12" width="6" style="2" bestFit="1" customWidth="1"/>
    <col min="13" max="13" width="11.85546875" style="2" bestFit="1" customWidth="1"/>
    <col min="14" max="14" width="5" style="2" bestFit="1" customWidth="1"/>
    <col min="15" max="15" width="13.28515625" style="2" bestFit="1" customWidth="1"/>
    <col min="16" max="16" width="15.28515625" style="2" bestFit="1" customWidth="1"/>
    <col min="17" max="17" width="19" style="2" bestFit="1" customWidth="1"/>
    <col min="18" max="18" width="19.5703125" style="2" bestFit="1" customWidth="1"/>
    <col min="19" max="16384" width="9" style="2"/>
  </cols>
  <sheetData>
    <row r="8" spans="1:9" x14ac:dyDescent="0.3">
      <c r="A8" t="s">
        <v>260</v>
      </c>
      <c r="B8" t="s">
        <v>261</v>
      </c>
      <c r="C8" t="s">
        <v>262</v>
      </c>
      <c r="D8" t="s">
        <v>263</v>
      </c>
      <c r="E8" t="s">
        <v>264</v>
      </c>
      <c r="F8" t="s">
        <v>265</v>
      </c>
      <c r="G8" t="s">
        <v>266</v>
      </c>
      <c r="H8" t="s">
        <v>267</v>
      </c>
      <c r="I8" s="72" t="s">
        <v>268</v>
      </c>
    </row>
    <row r="9" spans="1:9" x14ac:dyDescent="0.3">
      <c r="E9" t="s">
        <v>269</v>
      </c>
      <c r="F9" t="s">
        <v>269</v>
      </c>
      <c r="G9" t="s">
        <v>270</v>
      </c>
      <c r="H9" t="s">
        <v>271</v>
      </c>
      <c r="I9" s="72" t="s">
        <v>269</v>
      </c>
    </row>
    <row r="10" spans="1:9" x14ac:dyDescent="0.3">
      <c r="A10">
        <v>2015</v>
      </c>
      <c r="B10">
        <v>4</v>
      </c>
      <c r="C10">
        <v>30</v>
      </c>
      <c r="D10">
        <v>2015.329</v>
      </c>
      <c r="E10">
        <v>0</v>
      </c>
      <c r="F10">
        <v>0</v>
      </c>
      <c r="I10" s="72">
        <f t="shared" ref="I10:I71" si="0">F10+E10</f>
        <v>0</v>
      </c>
    </row>
    <row r="11" spans="1:9" x14ac:dyDescent="0.3">
      <c r="A11">
        <v>2015</v>
      </c>
      <c r="B11">
        <v>5</v>
      </c>
      <c r="C11">
        <v>31</v>
      </c>
      <c r="D11">
        <v>2015.414</v>
      </c>
      <c r="E11">
        <v>0.29370000000000002</v>
      </c>
      <c r="F11">
        <v>3.5654129975380001E-3</v>
      </c>
      <c r="G11">
        <v>0</v>
      </c>
      <c r="H11">
        <v>0</v>
      </c>
      <c r="I11" s="72">
        <f t="shared" si="0"/>
        <v>0.297265412997538</v>
      </c>
    </row>
    <row r="12" spans="1:9" x14ac:dyDescent="0.3">
      <c r="A12">
        <v>2015</v>
      </c>
      <c r="B12">
        <v>6</v>
      </c>
      <c r="C12">
        <v>30</v>
      </c>
      <c r="D12">
        <v>2015.4960000000001</v>
      </c>
      <c r="E12">
        <v>0.29370000000000002</v>
      </c>
      <c r="F12">
        <v>7.1739703714020003E-3</v>
      </c>
      <c r="G12">
        <v>0</v>
      </c>
      <c r="H12">
        <v>0</v>
      </c>
      <c r="I12" s="72">
        <f t="shared" si="0"/>
        <v>0.30087397037140201</v>
      </c>
    </row>
    <row r="13" spans="1:9" x14ac:dyDescent="0.3">
      <c r="A13">
        <v>2015</v>
      </c>
      <c r="B13">
        <v>7</v>
      </c>
      <c r="C13">
        <v>31</v>
      </c>
      <c r="D13">
        <v>2015.5809999999999</v>
      </c>
      <c r="E13">
        <v>0.29370319786529298</v>
      </c>
      <c r="F13">
        <v>1.0800532381597E-2</v>
      </c>
      <c r="G13">
        <v>0</v>
      </c>
      <c r="H13">
        <v>0</v>
      </c>
      <c r="I13" s="72">
        <f t="shared" si="0"/>
        <v>0.30450373024688998</v>
      </c>
    </row>
    <row r="14" spans="1:9" x14ac:dyDescent="0.3">
      <c r="A14">
        <v>2015</v>
      </c>
      <c r="B14">
        <v>8</v>
      </c>
      <c r="C14">
        <v>31</v>
      </c>
      <c r="D14">
        <v>2015.6659999999999</v>
      </c>
      <c r="E14">
        <v>0.29394578338730498</v>
      </c>
      <c r="F14">
        <v>1.4401062041357E-2</v>
      </c>
      <c r="G14">
        <v>0</v>
      </c>
      <c r="H14">
        <v>0</v>
      </c>
      <c r="I14" s="72">
        <f t="shared" si="0"/>
        <v>0.30834684542866198</v>
      </c>
    </row>
    <row r="15" spans="1:9" x14ac:dyDescent="0.3">
      <c r="A15">
        <v>2015</v>
      </c>
      <c r="B15">
        <v>9</v>
      </c>
      <c r="C15">
        <v>30</v>
      </c>
      <c r="D15">
        <v>2015.748</v>
      </c>
      <c r="E15">
        <v>0.296829373399706</v>
      </c>
      <c r="F15">
        <v>1.7789298203483E-2</v>
      </c>
      <c r="G15">
        <v>0</v>
      </c>
      <c r="H15">
        <v>0</v>
      </c>
      <c r="I15" s="72">
        <f t="shared" si="0"/>
        <v>0.31461867160318902</v>
      </c>
    </row>
    <row r="16" spans="1:9" x14ac:dyDescent="0.3">
      <c r="A16">
        <v>2015</v>
      </c>
      <c r="B16">
        <v>10</v>
      </c>
      <c r="C16">
        <v>31</v>
      </c>
      <c r="D16">
        <v>2015.8330000000001</v>
      </c>
      <c r="E16">
        <v>0.31139490140943299</v>
      </c>
      <c r="F16">
        <v>2.1138902386832002E-2</v>
      </c>
      <c r="G16">
        <v>0</v>
      </c>
      <c r="H16">
        <v>0</v>
      </c>
      <c r="I16" s="72">
        <f t="shared" si="0"/>
        <v>0.33253380379626502</v>
      </c>
    </row>
    <row r="17" spans="1:18" x14ac:dyDescent="0.3">
      <c r="A17">
        <v>2015</v>
      </c>
      <c r="B17">
        <v>11</v>
      </c>
      <c r="C17">
        <v>30</v>
      </c>
      <c r="D17">
        <v>2015.915</v>
      </c>
      <c r="E17">
        <v>0.36570045487703801</v>
      </c>
      <c r="F17">
        <v>2.4804577308472998E-2</v>
      </c>
      <c r="G17">
        <v>0</v>
      </c>
      <c r="H17">
        <v>0</v>
      </c>
      <c r="I17" s="72">
        <f t="shared" si="0"/>
        <v>0.39050503218551103</v>
      </c>
    </row>
    <row r="18" spans="1:18" x14ac:dyDescent="0.3">
      <c r="A18">
        <v>2015</v>
      </c>
      <c r="B18">
        <v>12</v>
      </c>
      <c r="C18">
        <v>31</v>
      </c>
      <c r="D18">
        <v>2016</v>
      </c>
      <c r="E18">
        <v>0.50723934054616304</v>
      </c>
      <c r="F18">
        <v>2.9914418652756E-2</v>
      </c>
      <c r="G18">
        <v>0</v>
      </c>
      <c r="H18">
        <v>0</v>
      </c>
      <c r="I18" s="72">
        <f t="shared" si="0"/>
        <v>0.53715375919891906</v>
      </c>
    </row>
    <row r="19" spans="1:18" x14ac:dyDescent="0.3">
      <c r="A19">
        <v>2016</v>
      </c>
      <c r="B19">
        <v>1</v>
      </c>
      <c r="C19">
        <v>31</v>
      </c>
      <c r="D19">
        <v>2016.085</v>
      </c>
      <c r="E19">
        <v>0.76158436131841001</v>
      </c>
      <c r="F19">
        <v>3.7738379224385998E-2</v>
      </c>
      <c r="G19">
        <v>0</v>
      </c>
      <c r="H19">
        <v>0</v>
      </c>
      <c r="I19" s="72">
        <f t="shared" si="0"/>
        <v>0.79932274054279606</v>
      </c>
    </row>
    <row r="20" spans="1:18" x14ac:dyDescent="0.3">
      <c r="A20">
        <v>2016</v>
      </c>
      <c r="B20">
        <v>2</v>
      </c>
      <c r="C20">
        <v>29</v>
      </c>
      <c r="D20">
        <v>2016.164</v>
      </c>
      <c r="E20">
        <v>1.12955803728202</v>
      </c>
      <c r="F20">
        <v>4.8784177334068E-2</v>
      </c>
      <c r="G20">
        <v>0</v>
      </c>
      <c r="H20">
        <v>0</v>
      </c>
      <c r="I20" s="72">
        <f t="shared" si="0"/>
        <v>1.178342214616088</v>
      </c>
    </row>
    <row r="21" spans="1:18" s="11" customFormat="1" x14ac:dyDescent="0.3">
      <c r="A21">
        <v>2016</v>
      </c>
      <c r="B21">
        <v>3</v>
      </c>
      <c r="C21">
        <v>31</v>
      </c>
      <c r="D21">
        <v>2016.249</v>
      </c>
      <c r="E21">
        <v>1.6698729318171801</v>
      </c>
      <c r="F21">
        <v>6.6414418842531006E-2</v>
      </c>
      <c r="G21">
        <v>0</v>
      </c>
      <c r="H21">
        <v>0</v>
      </c>
      <c r="I21" s="72">
        <f t="shared" si="0"/>
        <v>1.7362873506597112</v>
      </c>
    </row>
    <row r="22" spans="1:18" x14ac:dyDescent="0.3">
      <c r="A22">
        <v>2016</v>
      </c>
      <c r="B22">
        <v>4</v>
      </c>
      <c r="C22">
        <v>30</v>
      </c>
      <c r="D22">
        <v>2016.3309999999999</v>
      </c>
      <c r="E22">
        <v>2.4733446907476999</v>
      </c>
      <c r="F22">
        <v>9.1050372873395999E-2</v>
      </c>
      <c r="G22">
        <v>0</v>
      </c>
      <c r="H22">
        <v>0</v>
      </c>
      <c r="I22" s="72">
        <f t="shared" si="0"/>
        <v>2.5643950636210957</v>
      </c>
      <c r="J22" s="2"/>
    </row>
    <row r="23" spans="1:18" x14ac:dyDescent="0.3">
      <c r="A23">
        <v>2016</v>
      </c>
      <c r="B23">
        <v>5</v>
      </c>
      <c r="C23">
        <v>31</v>
      </c>
      <c r="D23">
        <v>2016.415</v>
      </c>
      <c r="E23">
        <v>3.3484426183872298</v>
      </c>
      <c r="F23">
        <v>0.125993002740447</v>
      </c>
      <c r="G23">
        <v>0</v>
      </c>
      <c r="H23">
        <v>0</v>
      </c>
      <c r="I23" s="72">
        <f t="shared" si="0"/>
        <v>3.474435621127677</v>
      </c>
      <c r="J23" s="2"/>
    </row>
    <row r="24" spans="1:18" s="35" customFormat="1" x14ac:dyDescent="0.3">
      <c r="A24">
        <v>2016</v>
      </c>
      <c r="B24">
        <v>6</v>
      </c>
      <c r="C24">
        <v>30</v>
      </c>
      <c r="D24">
        <v>2016.4970000000001</v>
      </c>
      <c r="E24">
        <v>4.4675725471721499</v>
      </c>
      <c r="F24">
        <v>0.17050779439448799</v>
      </c>
      <c r="G24">
        <v>0</v>
      </c>
      <c r="H24">
        <v>0</v>
      </c>
      <c r="I24" s="106">
        <f t="shared" si="0"/>
        <v>4.6380803415666376</v>
      </c>
      <c r="J24" s="86">
        <v>4.6380803415666376</v>
      </c>
      <c r="K24" s="86"/>
      <c r="L24" s="86"/>
      <c r="M24" s="86"/>
      <c r="N24" s="86"/>
      <c r="O24" s="86"/>
      <c r="P24" s="86"/>
      <c r="Q24" s="86"/>
      <c r="R24" s="86"/>
    </row>
    <row r="25" spans="1:18" x14ac:dyDescent="0.3">
      <c r="A25">
        <v>2016</v>
      </c>
      <c r="B25">
        <v>7</v>
      </c>
      <c r="C25">
        <v>31</v>
      </c>
      <c r="D25">
        <v>2016.5820000000001</v>
      </c>
      <c r="E25">
        <v>5.5535056994654903</v>
      </c>
      <c r="F25">
        <v>0.227418818619085</v>
      </c>
      <c r="G25">
        <v>0</v>
      </c>
      <c r="H25">
        <v>0</v>
      </c>
      <c r="I25" s="72">
        <f t="shared" si="0"/>
        <v>5.780924518084575</v>
      </c>
      <c r="K25" s="11" t="s">
        <v>260</v>
      </c>
      <c r="L25" s="11" t="s">
        <v>261</v>
      </c>
      <c r="M25" s="11" t="s">
        <v>272</v>
      </c>
      <c r="N25" s="2" t="s">
        <v>181</v>
      </c>
      <c r="O25" s="2" t="s">
        <v>273</v>
      </c>
      <c r="P25" s="2" t="s">
        <v>274</v>
      </c>
      <c r="Q25" s="2" t="s">
        <v>275</v>
      </c>
      <c r="R25" s="2" t="s">
        <v>276</v>
      </c>
    </row>
    <row r="26" spans="1:18" x14ac:dyDescent="0.3">
      <c r="A26">
        <v>2016</v>
      </c>
      <c r="B26">
        <v>8</v>
      </c>
      <c r="C26">
        <v>31</v>
      </c>
      <c r="D26">
        <v>2016.6669999999999</v>
      </c>
      <c r="E26">
        <v>6.4750943461636696</v>
      </c>
      <c r="F26">
        <v>0.29409639398271897</v>
      </c>
      <c r="G26">
        <v>0</v>
      </c>
      <c r="H26">
        <v>0</v>
      </c>
      <c r="I26" s="72">
        <f t="shared" si="0"/>
        <v>6.7691907401463887</v>
      </c>
      <c r="K26" s="11">
        <v>2016</v>
      </c>
      <c r="L26" s="11">
        <v>6</v>
      </c>
      <c r="M26" s="97">
        <f>I24</f>
        <v>4.6380803415666376</v>
      </c>
      <c r="N26" s="2">
        <f>'Abatement - Report 3'!$C$8</f>
        <v>13.77</v>
      </c>
      <c r="O26" s="99">
        <f>M26*N26</f>
        <v>63.866366303372601</v>
      </c>
      <c r="P26" s="99">
        <f>O26*44/12</f>
        <v>234.17667644569954</v>
      </c>
      <c r="Q26" s="96">
        <f>'Fuel Emissions'!$D$48</f>
        <v>0.58410487545283019</v>
      </c>
      <c r="R26" s="98">
        <f>P26-Q26</f>
        <v>233.59257157024672</v>
      </c>
    </row>
    <row r="27" spans="1:18" x14ac:dyDescent="0.3">
      <c r="A27">
        <v>2016</v>
      </c>
      <c r="B27">
        <v>9</v>
      </c>
      <c r="C27">
        <v>30</v>
      </c>
      <c r="D27">
        <v>2016.749</v>
      </c>
      <c r="E27">
        <v>7.4131453736265396</v>
      </c>
      <c r="F27">
        <v>0.36514940745535901</v>
      </c>
      <c r="G27">
        <v>0</v>
      </c>
      <c r="H27">
        <v>0</v>
      </c>
      <c r="I27" s="72">
        <f t="shared" si="0"/>
        <v>7.7782947810818985</v>
      </c>
      <c r="K27" s="11">
        <v>2017</v>
      </c>
      <c r="L27" s="11">
        <v>6</v>
      </c>
      <c r="M27" s="97">
        <f>I36</f>
        <v>14.87838036334478</v>
      </c>
      <c r="N27" s="2">
        <f>'Abatement - Report 3'!$C$8</f>
        <v>13.77</v>
      </c>
      <c r="O27" s="99">
        <f t="shared" ref="O27:O35" si="1">M27*N27</f>
        <v>204.87529760325762</v>
      </c>
      <c r="P27" s="99">
        <f t="shared" ref="P27:P35" si="2">O27*44/12</f>
        <v>751.20942454527801</v>
      </c>
      <c r="Q27" s="96">
        <f>'Fuel Emissions'!$D$48</f>
        <v>0.58410487545283019</v>
      </c>
      <c r="R27" s="96">
        <f t="shared" ref="R27:R35" si="3">P27-Q27</f>
        <v>750.62531966982522</v>
      </c>
    </row>
    <row r="28" spans="1:18" x14ac:dyDescent="0.3">
      <c r="A28">
        <v>2016</v>
      </c>
      <c r="B28">
        <v>10</v>
      </c>
      <c r="C28">
        <v>31</v>
      </c>
      <c r="D28">
        <v>2016.8330000000001</v>
      </c>
      <c r="E28">
        <v>8.42091100535038</v>
      </c>
      <c r="F28">
        <v>0.44323754068341098</v>
      </c>
      <c r="G28">
        <v>0</v>
      </c>
      <c r="H28">
        <v>0</v>
      </c>
      <c r="I28" s="72">
        <f t="shared" si="0"/>
        <v>8.8641485460337908</v>
      </c>
      <c r="K28" s="11">
        <v>2018</v>
      </c>
      <c r="L28" s="11">
        <v>6</v>
      </c>
      <c r="M28" s="97">
        <f>I48</f>
        <v>22.420641553484838</v>
      </c>
      <c r="N28" s="2">
        <f>'Abatement - Report 3'!$C$8</f>
        <v>13.77</v>
      </c>
      <c r="O28" s="99">
        <f t="shared" si="1"/>
        <v>308.73223419148621</v>
      </c>
      <c r="P28" s="99">
        <f t="shared" si="2"/>
        <v>1132.0181920354496</v>
      </c>
      <c r="Q28" s="96">
        <f>'Fuel Emissions'!$D$48</f>
        <v>0.58410487545283019</v>
      </c>
      <c r="R28" s="96">
        <f t="shared" si="3"/>
        <v>1131.4340871599968</v>
      </c>
    </row>
    <row r="29" spans="1:18" x14ac:dyDescent="0.3">
      <c r="A29">
        <v>2016</v>
      </c>
      <c r="B29">
        <v>11</v>
      </c>
      <c r="C29">
        <v>30</v>
      </c>
      <c r="D29">
        <v>2016.915</v>
      </c>
      <c r="E29">
        <v>9.1667681625383004</v>
      </c>
      <c r="F29">
        <v>0.52489648997350802</v>
      </c>
      <c r="G29">
        <v>0</v>
      </c>
      <c r="H29">
        <v>0</v>
      </c>
      <c r="I29" s="72">
        <f t="shared" si="0"/>
        <v>9.6916646525118075</v>
      </c>
      <c r="K29" s="11">
        <v>2019</v>
      </c>
      <c r="L29" s="11">
        <v>6</v>
      </c>
      <c r="M29" s="97">
        <f>I60</f>
        <v>30.31937289416652</v>
      </c>
      <c r="N29" s="2">
        <f>'Abatement - Report 3'!$C$8</f>
        <v>13.77</v>
      </c>
      <c r="O29" s="99">
        <f t="shared" si="1"/>
        <v>417.49776475267299</v>
      </c>
      <c r="P29" s="99">
        <f t="shared" si="2"/>
        <v>1530.8251374264676</v>
      </c>
      <c r="Q29" s="96">
        <f>'Fuel Emissions'!$D$48</f>
        <v>0.58410487545283019</v>
      </c>
      <c r="R29" s="96">
        <f t="shared" si="3"/>
        <v>1530.2410325510148</v>
      </c>
    </row>
    <row r="30" spans="1:18" x14ac:dyDescent="0.3">
      <c r="A30">
        <v>2016</v>
      </c>
      <c r="B30">
        <v>12</v>
      </c>
      <c r="C30">
        <v>31</v>
      </c>
      <c r="D30">
        <v>2017</v>
      </c>
      <c r="E30">
        <v>9.9533316413258799</v>
      </c>
      <c r="F30">
        <v>0.61351293785763195</v>
      </c>
      <c r="G30">
        <v>0</v>
      </c>
      <c r="H30">
        <v>0</v>
      </c>
      <c r="I30" s="72">
        <f t="shared" si="0"/>
        <v>10.566844579183511</v>
      </c>
      <c r="K30" s="11">
        <v>2020</v>
      </c>
      <c r="L30" s="11">
        <v>6</v>
      </c>
      <c r="M30" s="97">
        <f>I72</f>
        <v>37.126044251879023</v>
      </c>
      <c r="N30" s="2">
        <f>'Abatement - Report 3'!$C$8</f>
        <v>13.77</v>
      </c>
      <c r="O30" s="99">
        <f t="shared" si="1"/>
        <v>511.22562934837413</v>
      </c>
      <c r="P30" s="99">
        <f t="shared" si="2"/>
        <v>1874.493974277372</v>
      </c>
      <c r="Q30" s="96">
        <f>'Fuel Emissions'!$D$48</f>
        <v>0.58410487545283019</v>
      </c>
      <c r="R30" s="96">
        <f t="shared" si="3"/>
        <v>1873.9098694019192</v>
      </c>
    </row>
    <row r="31" spans="1:18" x14ac:dyDescent="0.3">
      <c r="A31">
        <v>2017</v>
      </c>
      <c r="B31">
        <v>1</v>
      </c>
      <c r="C31">
        <v>31</v>
      </c>
      <c r="D31">
        <v>2017.085</v>
      </c>
      <c r="E31">
        <v>10.753407875164999</v>
      </c>
      <c r="F31">
        <v>0.70670331888699101</v>
      </c>
      <c r="G31">
        <v>0</v>
      </c>
      <c r="H31">
        <v>0</v>
      </c>
      <c r="I31" s="72">
        <f t="shared" si="0"/>
        <v>11.46011119405199</v>
      </c>
      <c r="K31" s="11">
        <v>2021</v>
      </c>
      <c r="L31" s="11">
        <v>6</v>
      </c>
      <c r="M31" s="97">
        <f>I84</f>
        <v>43.699179941207277</v>
      </c>
      <c r="N31" s="2">
        <f>'Abatement - Report 3'!$C$8</f>
        <v>13.77</v>
      </c>
      <c r="O31" s="99">
        <f t="shared" si="1"/>
        <v>601.73770779042422</v>
      </c>
      <c r="P31" s="99">
        <f t="shared" si="2"/>
        <v>2206.3715952315556</v>
      </c>
      <c r="Q31" s="96">
        <f>'Fuel Emissions'!$D$48</f>
        <v>0.58410487545283019</v>
      </c>
      <c r="R31" s="96">
        <f t="shared" si="3"/>
        <v>2205.7874903561028</v>
      </c>
    </row>
    <row r="32" spans="1:18" x14ac:dyDescent="0.3">
      <c r="A32">
        <v>2017</v>
      </c>
      <c r="B32">
        <v>2</v>
      </c>
      <c r="C32">
        <v>28</v>
      </c>
      <c r="D32">
        <v>2017.162</v>
      </c>
      <c r="E32">
        <v>11.485658147686699</v>
      </c>
      <c r="F32">
        <v>0.79485191111360598</v>
      </c>
      <c r="G32">
        <v>0</v>
      </c>
      <c r="H32">
        <v>0</v>
      </c>
      <c r="I32" s="72">
        <f t="shared" si="0"/>
        <v>12.280510058800305</v>
      </c>
      <c r="K32" s="11">
        <v>2022</v>
      </c>
      <c r="L32" s="11">
        <v>6</v>
      </c>
      <c r="M32" s="97">
        <f>I96</f>
        <v>49.040593535828044</v>
      </c>
      <c r="N32" s="2">
        <f>'Abatement - Report 3'!$C$8</f>
        <v>13.77</v>
      </c>
      <c r="O32" s="99">
        <f t="shared" si="1"/>
        <v>675.28897298835216</v>
      </c>
      <c r="P32" s="99">
        <f t="shared" si="2"/>
        <v>2476.0595676239577</v>
      </c>
      <c r="Q32" s="96">
        <f>'Fuel Emissions'!$D$48</f>
        <v>0.58410487545283019</v>
      </c>
      <c r="R32" s="96">
        <f t="shared" si="3"/>
        <v>2475.4754627485049</v>
      </c>
    </row>
    <row r="33" spans="1:18" x14ac:dyDescent="0.3">
      <c r="A33">
        <v>2017</v>
      </c>
      <c r="B33">
        <v>3</v>
      </c>
      <c r="C33">
        <v>31</v>
      </c>
      <c r="D33">
        <v>2017.2470000000001</v>
      </c>
      <c r="E33">
        <v>12.2984064073485</v>
      </c>
      <c r="F33">
        <v>0.897363220491464</v>
      </c>
      <c r="G33">
        <v>0</v>
      </c>
      <c r="H33">
        <v>0</v>
      </c>
      <c r="I33" s="72">
        <f t="shared" si="0"/>
        <v>13.195769627839963</v>
      </c>
      <c r="K33" s="11">
        <v>2023</v>
      </c>
      <c r="L33" s="11">
        <v>6</v>
      </c>
      <c r="M33" s="97">
        <f>I108</f>
        <v>54.372982584670638</v>
      </c>
      <c r="N33" s="2">
        <f>'Abatement - Report 3'!$C$8</f>
        <v>13.77</v>
      </c>
      <c r="O33" s="99">
        <f t="shared" si="1"/>
        <v>748.71597019091462</v>
      </c>
      <c r="P33" s="99">
        <f t="shared" si="2"/>
        <v>2745.2918907000203</v>
      </c>
      <c r="Q33" s="96">
        <f>'Fuel Emissions'!$D$48</f>
        <v>0.58410487545283019</v>
      </c>
      <c r="R33" s="96">
        <f t="shared" si="3"/>
        <v>2744.7077858245675</v>
      </c>
    </row>
    <row r="34" spans="1:18" x14ac:dyDescent="0.3">
      <c r="A34">
        <v>2017</v>
      </c>
      <c r="B34">
        <v>4</v>
      </c>
      <c r="C34">
        <v>30</v>
      </c>
      <c r="D34">
        <v>2017.329</v>
      </c>
      <c r="E34">
        <v>12.8329116825409</v>
      </c>
      <c r="F34">
        <v>1.00077391120005</v>
      </c>
      <c r="G34">
        <v>0</v>
      </c>
      <c r="H34">
        <v>0</v>
      </c>
      <c r="I34" s="72">
        <f t="shared" si="0"/>
        <v>13.833685593740949</v>
      </c>
      <c r="K34" s="11">
        <v>2024</v>
      </c>
      <c r="L34" s="11">
        <v>6</v>
      </c>
      <c r="M34" s="97">
        <f>I120</f>
        <v>59.013923764407103</v>
      </c>
      <c r="N34" s="2">
        <f>'Abatement - Report 3'!$C$8</f>
        <v>13.77</v>
      </c>
      <c r="O34" s="99">
        <f t="shared" si="1"/>
        <v>812.62173023588582</v>
      </c>
      <c r="P34" s="99">
        <f t="shared" si="2"/>
        <v>2979.6130108649145</v>
      </c>
      <c r="Q34" s="96">
        <f>'Fuel Emissions'!$D$48</f>
        <v>0.58410487545283019</v>
      </c>
      <c r="R34" s="96">
        <f t="shared" si="3"/>
        <v>2979.0289059894617</v>
      </c>
    </row>
    <row r="35" spans="1:18" x14ac:dyDescent="0.3">
      <c r="A35">
        <v>2017</v>
      </c>
      <c r="B35">
        <v>5</v>
      </c>
      <c r="C35">
        <v>31</v>
      </c>
      <c r="D35">
        <v>2017.414</v>
      </c>
      <c r="E35">
        <v>13.3809424883178</v>
      </c>
      <c r="F35">
        <v>1.10901562553789</v>
      </c>
      <c r="G35">
        <v>0</v>
      </c>
      <c r="H35">
        <v>0</v>
      </c>
      <c r="I35" s="72">
        <f t="shared" si="0"/>
        <v>14.489958113855689</v>
      </c>
      <c r="K35" s="11">
        <v>2025</v>
      </c>
      <c r="L35" s="11">
        <v>6</v>
      </c>
      <c r="M35" s="97">
        <f>I132</f>
        <v>63.172290992187698</v>
      </c>
      <c r="N35" s="2">
        <f>'Abatement - Report 3'!$C$8</f>
        <v>13.77</v>
      </c>
      <c r="O35" s="99">
        <f t="shared" si="1"/>
        <v>869.88244696242452</v>
      </c>
      <c r="P35" s="99">
        <f t="shared" si="2"/>
        <v>3189.5689721955569</v>
      </c>
      <c r="Q35" s="96">
        <f>'Fuel Emissions'!$D$48</f>
        <v>0.58410487545283019</v>
      </c>
      <c r="R35" s="96">
        <f t="shared" si="3"/>
        <v>3188.9848673201041</v>
      </c>
    </row>
    <row r="36" spans="1:18" x14ac:dyDescent="0.3">
      <c r="A36">
        <v>2017</v>
      </c>
      <c r="B36">
        <v>6</v>
      </c>
      <c r="C36">
        <v>30</v>
      </c>
      <c r="D36">
        <v>2017.4960000000001</v>
      </c>
      <c r="E36">
        <v>13.657970855458601</v>
      </c>
      <c r="F36">
        <v>1.2204095078861801</v>
      </c>
      <c r="G36">
        <v>0</v>
      </c>
      <c r="H36">
        <v>0</v>
      </c>
      <c r="I36" s="106">
        <f t="shared" si="0"/>
        <v>14.87838036334478</v>
      </c>
      <c r="J36" s="11">
        <v>14.87838036334478</v>
      </c>
    </row>
    <row r="37" spans="1:18" x14ac:dyDescent="0.3">
      <c r="A37">
        <v>2017</v>
      </c>
      <c r="B37">
        <v>7</v>
      </c>
      <c r="C37">
        <v>31</v>
      </c>
      <c r="D37">
        <v>2017.5809999999999</v>
      </c>
      <c r="E37">
        <v>13.933231125777001</v>
      </c>
      <c r="F37">
        <v>1.33605137504194</v>
      </c>
      <c r="G37">
        <v>0</v>
      </c>
      <c r="H37">
        <v>0</v>
      </c>
      <c r="I37" s="72">
        <f t="shared" si="0"/>
        <v>15.269282500818941</v>
      </c>
    </row>
    <row r="38" spans="1:18" x14ac:dyDescent="0.3">
      <c r="A38">
        <v>2017</v>
      </c>
      <c r="B38">
        <v>8</v>
      </c>
      <c r="C38">
        <v>31</v>
      </c>
      <c r="D38">
        <v>2017.6659999999999</v>
      </c>
      <c r="E38">
        <v>14.4803991535507</v>
      </c>
      <c r="F38">
        <v>1.4558243591528599</v>
      </c>
      <c r="G38">
        <v>0</v>
      </c>
      <c r="H38">
        <v>0</v>
      </c>
      <c r="I38" s="72">
        <f t="shared" si="0"/>
        <v>15.93622351270356</v>
      </c>
    </row>
    <row r="39" spans="1:18" x14ac:dyDescent="0.3">
      <c r="A39">
        <v>2017</v>
      </c>
      <c r="B39">
        <v>9</v>
      </c>
      <c r="C39">
        <v>30</v>
      </c>
      <c r="D39">
        <v>2017.748</v>
      </c>
      <c r="E39">
        <v>15.013628400231299</v>
      </c>
      <c r="F39">
        <v>1.57141245428201</v>
      </c>
      <c r="G39">
        <v>0</v>
      </c>
      <c r="H39">
        <v>0</v>
      </c>
      <c r="I39" s="72">
        <f t="shared" si="0"/>
        <v>16.585040854513309</v>
      </c>
    </row>
    <row r="40" spans="1:18" x14ac:dyDescent="0.3">
      <c r="A40">
        <v>2017</v>
      </c>
      <c r="B40">
        <v>10</v>
      </c>
      <c r="C40">
        <v>31</v>
      </c>
      <c r="D40">
        <v>2017.8330000000001</v>
      </c>
      <c r="E40">
        <v>15.5633658443962</v>
      </c>
      <c r="F40">
        <v>1.68057740598843</v>
      </c>
      <c r="G40">
        <v>0</v>
      </c>
      <c r="H40">
        <v>0</v>
      </c>
      <c r="I40" s="72">
        <f t="shared" si="0"/>
        <v>17.243943250384632</v>
      </c>
    </row>
    <row r="41" spans="1:18" x14ac:dyDescent="0.3">
      <c r="A41">
        <v>2017</v>
      </c>
      <c r="B41">
        <v>11</v>
      </c>
      <c r="C41">
        <v>30</v>
      </c>
      <c r="D41">
        <v>2017.915</v>
      </c>
      <c r="E41">
        <v>16.0956439208652</v>
      </c>
      <c r="F41">
        <v>1.78663087897113</v>
      </c>
      <c r="G41">
        <v>0</v>
      </c>
      <c r="H41">
        <v>0</v>
      </c>
      <c r="I41" s="72">
        <f t="shared" si="0"/>
        <v>17.882274799836331</v>
      </c>
    </row>
    <row r="42" spans="1:18" x14ac:dyDescent="0.3">
      <c r="A42">
        <v>2017</v>
      </c>
      <c r="B42">
        <v>12</v>
      </c>
      <c r="C42">
        <v>31</v>
      </c>
      <c r="D42">
        <v>2018</v>
      </c>
      <c r="E42">
        <v>16.645589581422598</v>
      </c>
      <c r="F42">
        <v>1.89658647398758</v>
      </c>
      <c r="G42">
        <v>0</v>
      </c>
      <c r="H42">
        <v>0</v>
      </c>
      <c r="I42" s="72">
        <f t="shared" si="0"/>
        <v>18.542176055410177</v>
      </c>
    </row>
    <row r="43" spans="1:18" x14ac:dyDescent="0.3">
      <c r="A43">
        <v>2018</v>
      </c>
      <c r="B43">
        <v>1</v>
      </c>
      <c r="C43">
        <v>31</v>
      </c>
      <c r="D43">
        <v>2018.085</v>
      </c>
      <c r="E43">
        <v>17.1951201974451</v>
      </c>
      <c r="F43">
        <v>2.0077305985501699</v>
      </c>
      <c r="G43">
        <v>0</v>
      </c>
      <c r="H43">
        <v>0</v>
      </c>
      <c r="I43" s="72">
        <f t="shared" si="0"/>
        <v>19.202850795995268</v>
      </c>
    </row>
    <row r="44" spans="1:18" x14ac:dyDescent="0.3">
      <c r="A44">
        <v>2018</v>
      </c>
      <c r="B44">
        <v>2</v>
      </c>
      <c r="C44">
        <v>28</v>
      </c>
      <c r="D44">
        <v>2018.162</v>
      </c>
      <c r="E44">
        <v>17.690848507110399</v>
      </c>
      <c r="F44">
        <v>2.1093813228618399</v>
      </c>
      <c r="G44">
        <v>0</v>
      </c>
      <c r="H44">
        <v>0</v>
      </c>
      <c r="I44" s="72">
        <f t="shared" si="0"/>
        <v>19.800229829972238</v>
      </c>
    </row>
    <row r="45" spans="1:18" x14ac:dyDescent="0.3">
      <c r="A45">
        <v>2018</v>
      </c>
      <c r="B45">
        <v>3</v>
      </c>
      <c r="C45">
        <v>31</v>
      </c>
      <c r="D45">
        <v>2018.2470000000001</v>
      </c>
      <c r="E45">
        <v>18.237540128445001</v>
      </c>
      <c r="F45">
        <v>2.2251196610180202</v>
      </c>
      <c r="G45">
        <v>0</v>
      </c>
      <c r="H45">
        <v>0</v>
      </c>
      <c r="I45" s="72">
        <f t="shared" si="0"/>
        <v>20.462659789463022</v>
      </c>
    </row>
    <row r="46" spans="1:18" x14ac:dyDescent="0.3">
      <c r="A46">
        <v>2018</v>
      </c>
      <c r="B46">
        <v>4</v>
      </c>
      <c r="C46">
        <v>30</v>
      </c>
      <c r="D46">
        <v>2018.329</v>
      </c>
      <c r="E46">
        <v>18.763795320674198</v>
      </c>
      <c r="F46">
        <v>2.34142686584598</v>
      </c>
      <c r="G46">
        <v>0</v>
      </c>
      <c r="H46">
        <v>0</v>
      </c>
      <c r="I46" s="72">
        <f t="shared" si="0"/>
        <v>21.10522218652018</v>
      </c>
    </row>
    <row r="47" spans="1:18" x14ac:dyDescent="0.3">
      <c r="A47">
        <v>2018</v>
      </c>
      <c r="B47">
        <v>5</v>
      </c>
      <c r="C47">
        <v>31</v>
      </c>
      <c r="D47">
        <v>2018.414</v>
      </c>
      <c r="E47">
        <v>19.306098917543</v>
      </c>
      <c r="F47">
        <v>2.4619628523300401</v>
      </c>
      <c r="G47">
        <v>0</v>
      </c>
      <c r="H47">
        <v>0</v>
      </c>
      <c r="I47" s="72">
        <f t="shared" si="0"/>
        <v>21.768061769873039</v>
      </c>
    </row>
    <row r="48" spans="1:18" x14ac:dyDescent="0.3">
      <c r="A48">
        <v>2018</v>
      </c>
      <c r="B48">
        <v>6</v>
      </c>
      <c r="C48">
        <v>30</v>
      </c>
      <c r="D48">
        <v>2018.4960000000001</v>
      </c>
      <c r="E48">
        <v>19.829244928593099</v>
      </c>
      <c r="F48">
        <v>2.5913966248917402</v>
      </c>
      <c r="G48">
        <v>0</v>
      </c>
      <c r="H48">
        <v>0</v>
      </c>
      <c r="I48" s="106">
        <f t="shared" si="0"/>
        <v>22.420641553484838</v>
      </c>
      <c r="J48" s="11">
        <v>19.379305586215622</v>
      </c>
    </row>
    <row r="49" spans="1:10" x14ac:dyDescent="0.3">
      <c r="A49">
        <v>2018</v>
      </c>
      <c r="B49">
        <v>7</v>
      </c>
      <c r="C49">
        <v>31</v>
      </c>
      <c r="D49">
        <v>2018.5809999999999</v>
      </c>
      <c r="E49">
        <v>20.6321010220584</v>
      </c>
      <c r="F49">
        <v>2.7291723545953501</v>
      </c>
      <c r="G49">
        <v>0</v>
      </c>
      <c r="H49">
        <v>0</v>
      </c>
      <c r="I49" s="72">
        <f t="shared" si="0"/>
        <v>23.361273376653749</v>
      </c>
    </row>
    <row r="50" spans="1:10" x14ac:dyDescent="0.3">
      <c r="A50">
        <v>2018</v>
      </c>
      <c r="B50">
        <v>8</v>
      </c>
      <c r="C50">
        <v>31</v>
      </c>
      <c r="D50">
        <v>2018.6659999999999</v>
      </c>
      <c r="E50">
        <v>21.173926174660799</v>
      </c>
      <c r="F50">
        <v>2.8748886208709399</v>
      </c>
      <c r="G50">
        <v>0</v>
      </c>
      <c r="H50">
        <v>0</v>
      </c>
      <c r="I50" s="72">
        <f t="shared" si="0"/>
        <v>24.04881479553174</v>
      </c>
    </row>
    <row r="51" spans="1:10" x14ac:dyDescent="0.3">
      <c r="A51">
        <v>2018</v>
      </c>
      <c r="B51">
        <v>9</v>
      </c>
      <c r="C51">
        <v>30</v>
      </c>
      <c r="D51">
        <v>2018.748</v>
      </c>
      <c r="E51">
        <v>21.687589712595202</v>
      </c>
      <c r="F51">
        <v>3.0129769528860999</v>
      </c>
      <c r="G51">
        <v>0</v>
      </c>
      <c r="H51">
        <v>0</v>
      </c>
      <c r="I51" s="72">
        <f t="shared" si="0"/>
        <v>24.700566665481301</v>
      </c>
    </row>
    <row r="52" spans="1:10" x14ac:dyDescent="0.3">
      <c r="A52">
        <v>2018</v>
      </c>
      <c r="B52">
        <v>10</v>
      </c>
      <c r="C52">
        <v>31</v>
      </c>
      <c r="D52">
        <v>2018.8330000000001</v>
      </c>
      <c r="E52">
        <v>22.215764920002101</v>
      </c>
      <c r="F52">
        <v>3.1340375784002301</v>
      </c>
      <c r="G52">
        <v>0</v>
      </c>
      <c r="H52">
        <v>0</v>
      </c>
      <c r="I52" s="72">
        <f t="shared" si="0"/>
        <v>25.349802498402333</v>
      </c>
    </row>
    <row r="53" spans="1:10" x14ac:dyDescent="0.3">
      <c r="A53">
        <v>2018</v>
      </c>
      <c r="B53">
        <v>11</v>
      </c>
      <c r="C53">
        <v>30</v>
      </c>
      <c r="D53">
        <v>2018.915</v>
      </c>
      <c r="E53">
        <v>22.724310889061499</v>
      </c>
      <c r="F53">
        <v>3.2491796842368599</v>
      </c>
      <c r="G53">
        <v>0</v>
      </c>
      <c r="H53">
        <v>0</v>
      </c>
      <c r="I53" s="72">
        <f t="shared" si="0"/>
        <v>25.97349057329836</v>
      </c>
    </row>
    <row r="54" spans="1:10" x14ac:dyDescent="0.3">
      <c r="A54">
        <v>2018</v>
      </c>
      <c r="B54">
        <v>12</v>
      </c>
      <c r="C54">
        <v>31</v>
      </c>
      <c r="D54">
        <v>2019</v>
      </c>
      <c r="E54">
        <v>23.2469995082702</v>
      </c>
      <c r="F54">
        <v>3.3669807256600901</v>
      </c>
      <c r="G54">
        <v>0</v>
      </c>
      <c r="H54">
        <v>0</v>
      </c>
      <c r="I54" s="72">
        <f t="shared" si="0"/>
        <v>26.613980233930292</v>
      </c>
    </row>
    <row r="55" spans="1:10" x14ac:dyDescent="0.3">
      <c r="A55">
        <v>2019</v>
      </c>
      <c r="B55">
        <v>1</v>
      </c>
      <c r="C55">
        <v>31</v>
      </c>
      <c r="D55">
        <v>2019.085</v>
      </c>
      <c r="E55">
        <v>23.766711685239802</v>
      </c>
      <c r="F55">
        <v>3.4850783032290402</v>
      </c>
      <c r="G55">
        <v>0</v>
      </c>
      <c r="H55">
        <v>0</v>
      </c>
      <c r="I55" s="72">
        <f t="shared" si="0"/>
        <v>27.251789988468843</v>
      </c>
    </row>
    <row r="56" spans="1:10" x14ac:dyDescent="0.3">
      <c r="A56">
        <v>2019</v>
      </c>
      <c r="B56">
        <v>2</v>
      </c>
      <c r="C56">
        <v>28</v>
      </c>
      <c r="D56">
        <v>2019.162</v>
      </c>
      <c r="E56">
        <v>24.233477731921798</v>
      </c>
      <c r="F56">
        <v>3.5924970081818599</v>
      </c>
      <c r="G56">
        <v>0</v>
      </c>
      <c r="H56">
        <v>0</v>
      </c>
      <c r="I56" s="72">
        <f t="shared" si="0"/>
        <v>27.825974740103657</v>
      </c>
    </row>
    <row r="57" spans="1:10" x14ac:dyDescent="0.3">
      <c r="A57">
        <v>2019</v>
      </c>
      <c r="B57">
        <v>3</v>
      </c>
      <c r="C57">
        <v>31</v>
      </c>
      <c r="D57">
        <v>2019.2470000000001</v>
      </c>
      <c r="E57">
        <v>24.742899082885</v>
      </c>
      <c r="F57">
        <v>3.7145827369547502</v>
      </c>
      <c r="G57">
        <v>0</v>
      </c>
      <c r="H57">
        <v>0</v>
      </c>
      <c r="I57" s="72">
        <f t="shared" si="0"/>
        <v>28.457481819839749</v>
      </c>
    </row>
    <row r="58" spans="1:10" x14ac:dyDescent="0.3">
      <c r="A58">
        <v>2019</v>
      </c>
      <c r="B58">
        <v>4</v>
      </c>
      <c r="C58">
        <v>30</v>
      </c>
      <c r="D58">
        <v>2019.329</v>
      </c>
      <c r="E58">
        <v>25.232511347996901</v>
      </c>
      <c r="F58">
        <v>3.8373238126964302</v>
      </c>
      <c r="G58">
        <v>0</v>
      </c>
      <c r="H58">
        <v>0</v>
      </c>
      <c r="I58" s="72">
        <f t="shared" si="0"/>
        <v>29.06983516069333</v>
      </c>
    </row>
    <row r="59" spans="1:10" x14ac:dyDescent="0.3">
      <c r="A59">
        <v>2019</v>
      </c>
      <c r="B59">
        <v>5</v>
      </c>
      <c r="C59">
        <v>31</v>
      </c>
      <c r="D59">
        <v>2019.414</v>
      </c>
      <c r="E59">
        <v>25.7351745484068</v>
      </c>
      <c r="F59">
        <v>3.9624565632205599</v>
      </c>
      <c r="G59">
        <v>0</v>
      </c>
      <c r="H59">
        <v>0</v>
      </c>
      <c r="I59" s="72">
        <f t="shared" si="0"/>
        <v>29.697631111627359</v>
      </c>
    </row>
    <row r="60" spans="1:10" x14ac:dyDescent="0.3">
      <c r="A60">
        <v>2019</v>
      </c>
      <c r="B60">
        <v>6</v>
      </c>
      <c r="C60">
        <v>30</v>
      </c>
      <c r="D60">
        <v>2019.4960000000001</v>
      </c>
      <c r="E60">
        <v>26.218390011738201</v>
      </c>
      <c r="F60">
        <v>4.1009828824283199</v>
      </c>
      <c r="G60">
        <v>0</v>
      </c>
      <c r="H60">
        <v>0</v>
      </c>
      <c r="I60" s="106">
        <f t="shared" si="0"/>
        <v>30.31937289416652</v>
      </c>
      <c r="J60" s="11">
        <v>23.793112633864098</v>
      </c>
    </row>
    <row r="61" spans="1:10" x14ac:dyDescent="0.3">
      <c r="A61">
        <v>2019</v>
      </c>
      <c r="B61">
        <v>7</v>
      </c>
      <c r="C61">
        <v>31</v>
      </c>
      <c r="D61">
        <v>2019.5809999999999</v>
      </c>
      <c r="E61">
        <v>26.472784063779901</v>
      </c>
      <c r="F61">
        <v>4.2461912570915104</v>
      </c>
      <c r="G61">
        <v>0</v>
      </c>
      <c r="H61">
        <v>0</v>
      </c>
      <c r="I61" s="72">
        <f t="shared" si="0"/>
        <v>30.718975320871412</v>
      </c>
    </row>
    <row r="62" spans="1:10" x14ac:dyDescent="0.3">
      <c r="A62">
        <v>2019</v>
      </c>
      <c r="B62">
        <v>8</v>
      </c>
      <c r="C62">
        <v>31</v>
      </c>
      <c r="D62">
        <v>2019.6659999999999</v>
      </c>
      <c r="E62">
        <v>26.962936333870299</v>
      </c>
      <c r="F62">
        <v>4.3989159232306498</v>
      </c>
      <c r="G62">
        <v>0</v>
      </c>
      <c r="H62">
        <v>0</v>
      </c>
      <c r="I62" s="72">
        <f t="shared" si="0"/>
        <v>31.361852257100949</v>
      </c>
    </row>
    <row r="63" spans="1:10" x14ac:dyDescent="0.3">
      <c r="A63">
        <v>2019</v>
      </c>
      <c r="B63">
        <v>9</v>
      </c>
      <c r="C63">
        <v>30</v>
      </c>
      <c r="D63">
        <v>2019.748</v>
      </c>
      <c r="E63">
        <v>27.437206928362102</v>
      </c>
      <c r="F63">
        <v>4.5408430345574002</v>
      </c>
      <c r="G63">
        <v>0</v>
      </c>
      <c r="H63">
        <v>0</v>
      </c>
      <c r="I63" s="72">
        <f t="shared" si="0"/>
        <v>31.978049962919503</v>
      </c>
    </row>
    <row r="64" spans="1:10" x14ac:dyDescent="0.3">
      <c r="A64">
        <v>2019</v>
      </c>
      <c r="B64">
        <v>10</v>
      </c>
      <c r="C64">
        <v>31</v>
      </c>
      <c r="D64">
        <v>2019.8330000000001</v>
      </c>
      <c r="E64">
        <v>27.923090957295901</v>
      </c>
      <c r="F64">
        <v>4.6536124832653796</v>
      </c>
      <c r="G64">
        <v>0</v>
      </c>
      <c r="H64">
        <v>0</v>
      </c>
      <c r="I64" s="72">
        <f t="shared" si="0"/>
        <v>32.576703440561282</v>
      </c>
    </row>
    <row r="65" spans="1:9" x14ac:dyDescent="0.3">
      <c r="A65">
        <v>2019</v>
      </c>
      <c r="B65">
        <v>11</v>
      </c>
      <c r="C65">
        <v>30</v>
      </c>
      <c r="D65">
        <v>2019.915</v>
      </c>
      <c r="E65">
        <v>28.389850422517299</v>
      </c>
      <c r="F65">
        <v>4.75755682874793</v>
      </c>
      <c r="G65">
        <v>0</v>
      </c>
      <c r="H65">
        <v>0</v>
      </c>
      <c r="I65" s="72">
        <f t="shared" si="0"/>
        <v>33.147407251265228</v>
      </c>
    </row>
    <row r="66" spans="1:9" x14ac:dyDescent="0.3">
      <c r="A66">
        <v>2019</v>
      </c>
      <c r="B66">
        <v>12</v>
      </c>
      <c r="C66">
        <v>31</v>
      </c>
      <c r="D66">
        <v>2020</v>
      </c>
      <c r="E66">
        <v>28.868567376513301</v>
      </c>
      <c r="F66">
        <v>4.8618375807446501</v>
      </c>
      <c r="G66">
        <v>0</v>
      </c>
      <c r="H66">
        <v>0</v>
      </c>
      <c r="I66" s="72">
        <f t="shared" si="0"/>
        <v>33.730404957257953</v>
      </c>
    </row>
    <row r="67" spans="1:9" x14ac:dyDescent="0.3">
      <c r="A67">
        <v>2020</v>
      </c>
      <c r="B67">
        <v>1</v>
      </c>
      <c r="C67">
        <v>31</v>
      </c>
      <c r="D67">
        <v>2020.085</v>
      </c>
      <c r="E67">
        <v>29.34359367791</v>
      </c>
      <c r="F67">
        <v>4.9651536218771204</v>
      </c>
      <c r="G67">
        <v>0</v>
      </c>
      <c r="H67">
        <v>0</v>
      </c>
      <c r="I67" s="72">
        <f t="shared" si="0"/>
        <v>34.308747299787122</v>
      </c>
    </row>
    <row r="68" spans="1:9" x14ac:dyDescent="0.3">
      <c r="A68">
        <v>2020</v>
      </c>
      <c r="B68">
        <v>2</v>
      </c>
      <c r="C68">
        <v>29</v>
      </c>
      <c r="D68">
        <v>2020.164</v>
      </c>
      <c r="E68">
        <v>29.784609078503699</v>
      </c>
      <c r="F68">
        <v>5.0617962111437498</v>
      </c>
      <c r="G68">
        <v>0</v>
      </c>
      <c r="H68">
        <v>0</v>
      </c>
      <c r="I68" s="72">
        <f t="shared" si="0"/>
        <v>34.84640528964745</v>
      </c>
    </row>
    <row r="69" spans="1:9" x14ac:dyDescent="0.3">
      <c r="A69">
        <v>2020</v>
      </c>
      <c r="B69">
        <v>3</v>
      </c>
      <c r="C69">
        <v>31</v>
      </c>
      <c r="D69">
        <v>2020.249</v>
      </c>
      <c r="E69">
        <v>30.2519650182034</v>
      </c>
      <c r="F69">
        <v>5.1696017546160098</v>
      </c>
      <c r="G69">
        <v>0</v>
      </c>
      <c r="H69">
        <v>0</v>
      </c>
      <c r="I69" s="72">
        <f t="shared" si="0"/>
        <v>35.421566772819411</v>
      </c>
    </row>
    <row r="70" spans="1:9" x14ac:dyDescent="0.3">
      <c r="A70">
        <v>2020</v>
      </c>
      <c r="B70">
        <v>4</v>
      </c>
      <c r="C70">
        <v>30</v>
      </c>
      <c r="D70">
        <v>2020.3309999999999</v>
      </c>
      <c r="E70">
        <v>30.700138813152101</v>
      </c>
      <c r="F70">
        <v>5.2799268957408296</v>
      </c>
      <c r="G70">
        <v>0</v>
      </c>
      <c r="H70">
        <v>0</v>
      </c>
      <c r="I70" s="72">
        <f t="shared" si="0"/>
        <v>35.98006570889293</v>
      </c>
    </row>
    <row r="71" spans="1:9" x14ac:dyDescent="0.3">
      <c r="A71">
        <v>2020</v>
      </c>
      <c r="B71">
        <v>5</v>
      </c>
      <c r="C71">
        <v>31</v>
      </c>
      <c r="D71">
        <v>2020.415</v>
      </c>
      <c r="E71">
        <v>31.159554928388999</v>
      </c>
      <c r="F71">
        <v>5.39411021152634</v>
      </c>
      <c r="G71">
        <v>0</v>
      </c>
      <c r="H71">
        <v>0</v>
      </c>
      <c r="I71" s="72">
        <f t="shared" si="0"/>
        <v>36.553665139915339</v>
      </c>
    </row>
    <row r="72" spans="1:9" x14ac:dyDescent="0.3">
      <c r="A72">
        <v>2020</v>
      </c>
      <c r="B72">
        <v>6</v>
      </c>
      <c r="C72">
        <v>30</v>
      </c>
      <c r="D72">
        <v>2020.4970000000001</v>
      </c>
      <c r="E72">
        <v>31.600565181273499</v>
      </c>
      <c r="F72">
        <v>5.5254790706055203</v>
      </c>
      <c r="G72">
        <v>0</v>
      </c>
      <c r="H72">
        <v>0</v>
      </c>
      <c r="I72" s="106">
        <f t="shared" ref="I72:I135" si="4">F72+E72</f>
        <v>37.126044251879023</v>
      </c>
    </row>
    <row r="73" spans="1:9" x14ac:dyDescent="0.3">
      <c r="A73">
        <v>2020</v>
      </c>
      <c r="B73">
        <v>7</v>
      </c>
      <c r="C73">
        <v>31</v>
      </c>
      <c r="D73">
        <v>2020.5820000000001</v>
      </c>
      <c r="E73">
        <v>32.268111839445403</v>
      </c>
      <c r="F73">
        <v>5.6672376876363399</v>
      </c>
      <c r="G73">
        <v>0</v>
      </c>
      <c r="H73">
        <v>0</v>
      </c>
      <c r="I73" s="72">
        <f t="shared" si="4"/>
        <v>37.93534952708174</v>
      </c>
    </row>
    <row r="74" spans="1:9" x14ac:dyDescent="0.3">
      <c r="A74">
        <v>2020</v>
      </c>
      <c r="B74">
        <v>8</v>
      </c>
      <c r="C74">
        <v>31</v>
      </c>
      <c r="D74">
        <v>2020.6669999999999</v>
      </c>
      <c r="E74">
        <v>32.714526560731699</v>
      </c>
      <c r="F74">
        <v>5.8180618933603103</v>
      </c>
      <c r="G74">
        <v>0</v>
      </c>
      <c r="H74">
        <v>0</v>
      </c>
      <c r="I74" s="72">
        <f t="shared" si="4"/>
        <v>38.532588454092007</v>
      </c>
    </row>
    <row r="75" spans="1:9" x14ac:dyDescent="0.3">
      <c r="A75">
        <v>2020</v>
      </c>
      <c r="B75">
        <v>9</v>
      </c>
      <c r="C75">
        <v>30</v>
      </c>
      <c r="D75">
        <v>2020.749</v>
      </c>
      <c r="E75">
        <v>33.142174483870697</v>
      </c>
      <c r="F75">
        <v>5.9546968029118501</v>
      </c>
      <c r="G75">
        <v>0</v>
      </c>
      <c r="H75">
        <v>0</v>
      </c>
      <c r="I75" s="72">
        <f t="shared" si="4"/>
        <v>39.096871286782545</v>
      </c>
    </row>
    <row r="76" spans="1:9" x14ac:dyDescent="0.3">
      <c r="A76">
        <v>2020</v>
      </c>
      <c r="B76">
        <v>10</v>
      </c>
      <c r="C76">
        <v>31</v>
      </c>
      <c r="D76">
        <v>2020.8330000000001</v>
      </c>
      <c r="E76">
        <v>33.580349975846403</v>
      </c>
      <c r="F76">
        <v>6.0566199716277502</v>
      </c>
      <c r="G76">
        <v>0</v>
      </c>
      <c r="H76">
        <v>0</v>
      </c>
      <c r="I76" s="72">
        <f t="shared" si="4"/>
        <v>39.636969947474157</v>
      </c>
    </row>
    <row r="77" spans="1:9" x14ac:dyDescent="0.3">
      <c r="A77">
        <v>2020</v>
      </c>
      <c r="B77">
        <v>11</v>
      </c>
      <c r="C77">
        <v>30</v>
      </c>
      <c r="D77">
        <v>2020.915</v>
      </c>
      <c r="E77">
        <v>34.000817204339597</v>
      </c>
      <c r="F77">
        <v>6.1467178628419799</v>
      </c>
      <c r="G77">
        <v>0</v>
      </c>
      <c r="H77">
        <v>0</v>
      </c>
      <c r="I77" s="72">
        <f t="shared" si="4"/>
        <v>40.147535067181579</v>
      </c>
    </row>
    <row r="78" spans="1:9" x14ac:dyDescent="0.3">
      <c r="A78">
        <v>2020</v>
      </c>
      <c r="B78">
        <v>12</v>
      </c>
      <c r="C78">
        <v>31</v>
      </c>
      <c r="D78">
        <v>2021</v>
      </c>
      <c r="E78">
        <v>34.431616564614899</v>
      </c>
      <c r="F78">
        <v>6.2363016207602202</v>
      </c>
      <c r="G78">
        <v>0</v>
      </c>
      <c r="H78">
        <v>0</v>
      </c>
      <c r="I78" s="72">
        <f t="shared" si="4"/>
        <v>40.667918185375122</v>
      </c>
    </row>
    <row r="79" spans="1:9" x14ac:dyDescent="0.3">
      <c r="A79">
        <v>2021</v>
      </c>
      <c r="B79">
        <v>1</v>
      </c>
      <c r="C79">
        <v>31</v>
      </c>
      <c r="D79">
        <v>2021.085</v>
      </c>
      <c r="E79">
        <v>34.8586835969638</v>
      </c>
      <c r="F79">
        <v>6.32495666243413</v>
      </c>
      <c r="G79">
        <v>0</v>
      </c>
      <c r="H79">
        <v>0</v>
      </c>
      <c r="I79" s="72">
        <f t="shared" si="4"/>
        <v>41.183640259397933</v>
      </c>
    </row>
    <row r="80" spans="1:9" x14ac:dyDescent="0.3">
      <c r="A80">
        <v>2021</v>
      </c>
      <c r="B80">
        <v>2</v>
      </c>
      <c r="C80">
        <v>28</v>
      </c>
      <c r="D80">
        <v>2021.162</v>
      </c>
      <c r="E80">
        <v>35.241224805543197</v>
      </c>
      <c r="F80">
        <v>6.4053101297322197</v>
      </c>
      <c r="G80">
        <v>0</v>
      </c>
      <c r="H80">
        <v>0</v>
      </c>
      <c r="I80" s="72">
        <f t="shared" si="4"/>
        <v>41.646534935275419</v>
      </c>
    </row>
    <row r="81" spans="1:9" x14ac:dyDescent="0.3">
      <c r="A81">
        <v>2021</v>
      </c>
      <c r="B81">
        <v>3</v>
      </c>
      <c r="C81">
        <v>31</v>
      </c>
      <c r="D81">
        <v>2021.2470000000001</v>
      </c>
      <c r="E81">
        <v>35.6605880143101</v>
      </c>
      <c r="F81">
        <v>6.5001324549953301</v>
      </c>
      <c r="G81">
        <v>0</v>
      </c>
      <c r="H81">
        <v>0</v>
      </c>
      <c r="I81" s="72">
        <f t="shared" si="4"/>
        <v>42.160720469305431</v>
      </c>
    </row>
    <row r="82" spans="1:9" x14ac:dyDescent="0.3">
      <c r="A82">
        <v>2021</v>
      </c>
      <c r="B82">
        <v>4</v>
      </c>
      <c r="C82">
        <v>30</v>
      </c>
      <c r="D82">
        <v>2021.329</v>
      </c>
      <c r="E82">
        <v>36.062874575203701</v>
      </c>
      <c r="F82">
        <v>6.5997500442945798</v>
      </c>
      <c r="G82">
        <v>0</v>
      </c>
      <c r="H82">
        <v>0</v>
      </c>
      <c r="I82" s="72">
        <f t="shared" si="4"/>
        <v>42.662624619498281</v>
      </c>
    </row>
    <row r="83" spans="1:9" x14ac:dyDescent="0.3">
      <c r="A83">
        <v>2021</v>
      </c>
      <c r="B83">
        <v>5</v>
      </c>
      <c r="C83">
        <v>31</v>
      </c>
      <c r="D83">
        <v>2021.414</v>
      </c>
      <c r="E83">
        <v>36.474965791365598</v>
      </c>
      <c r="F83">
        <v>6.7029538397819497</v>
      </c>
      <c r="G83">
        <v>0</v>
      </c>
      <c r="H83">
        <v>0</v>
      </c>
      <c r="I83" s="72">
        <f t="shared" si="4"/>
        <v>43.177919631147546</v>
      </c>
    </row>
    <row r="84" spans="1:9" x14ac:dyDescent="0.3">
      <c r="A84">
        <v>2021</v>
      </c>
      <c r="B84">
        <v>6</v>
      </c>
      <c r="C84">
        <v>30</v>
      </c>
      <c r="D84">
        <v>2021.4960000000001</v>
      </c>
      <c r="E84">
        <v>36.870293571628899</v>
      </c>
      <c r="F84">
        <v>6.8288863695783801</v>
      </c>
      <c r="G84">
        <v>0</v>
      </c>
      <c r="H84">
        <v>0</v>
      </c>
      <c r="I84" s="106">
        <f t="shared" si="4"/>
        <v>43.699179941207277</v>
      </c>
    </row>
    <row r="85" spans="1:9" x14ac:dyDescent="0.3">
      <c r="A85">
        <v>2021</v>
      </c>
      <c r="B85">
        <v>7</v>
      </c>
      <c r="C85">
        <v>31</v>
      </c>
      <c r="D85">
        <v>2021.5809999999999</v>
      </c>
      <c r="E85">
        <v>37.081378587790802</v>
      </c>
      <c r="F85">
        <v>6.9655413141662503</v>
      </c>
      <c r="G85">
        <v>0</v>
      </c>
      <c r="H85">
        <v>0</v>
      </c>
      <c r="I85" s="72">
        <f t="shared" si="4"/>
        <v>44.046919901957054</v>
      </c>
    </row>
    <row r="86" spans="1:9" x14ac:dyDescent="0.3">
      <c r="A86">
        <v>2021</v>
      </c>
      <c r="B86">
        <v>8</v>
      </c>
      <c r="C86">
        <v>31</v>
      </c>
      <c r="D86">
        <v>2021.6659999999999</v>
      </c>
      <c r="E86">
        <v>37.283360600337403</v>
      </c>
      <c r="F86">
        <v>7.1122353214251</v>
      </c>
      <c r="G86">
        <v>0</v>
      </c>
      <c r="H86">
        <v>0</v>
      </c>
      <c r="I86" s="72">
        <f t="shared" si="4"/>
        <v>44.395595921762506</v>
      </c>
    </row>
    <row r="87" spans="1:9" x14ac:dyDescent="0.3">
      <c r="A87">
        <v>2021</v>
      </c>
      <c r="B87">
        <v>9</v>
      </c>
      <c r="C87">
        <v>30</v>
      </c>
      <c r="D87">
        <v>2021.748</v>
      </c>
      <c r="E87">
        <v>37.668515774729798</v>
      </c>
      <c r="F87">
        <v>7.2431534574391403</v>
      </c>
      <c r="G87">
        <v>0</v>
      </c>
      <c r="H87">
        <v>0</v>
      </c>
      <c r="I87" s="72">
        <f t="shared" si="4"/>
        <v>44.91166923216894</v>
      </c>
    </row>
    <row r="88" spans="1:9" x14ac:dyDescent="0.3">
      <c r="A88">
        <v>2021</v>
      </c>
      <c r="B88">
        <v>10</v>
      </c>
      <c r="C88">
        <v>31</v>
      </c>
      <c r="D88">
        <v>2021.8330000000001</v>
      </c>
      <c r="E88">
        <v>38.065815730140898</v>
      </c>
      <c r="F88">
        <v>7.3306062995796104</v>
      </c>
      <c r="G88">
        <v>0</v>
      </c>
      <c r="H88">
        <v>0</v>
      </c>
      <c r="I88" s="72">
        <f t="shared" si="4"/>
        <v>45.396422029720512</v>
      </c>
    </row>
    <row r="89" spans="1:9" x14ac:dyDescent="0.3">
      <c r="A89">
        <v>2021</v>
      </c>
      <c r="B89">
        <v>11</v>
      </c>
      <c r="C89">
        <v>30</v>
      </c>
      <c r="D89">
        <v>2021.915</v>
      </c>
      <c r="E89">
        <v>38.4468839465234</v>
      </c>
      <c r="F89">
        <v>7.4052210839806198</v>
      </c>
      <c r="G89">
        <v>0</v>
      </c>
      <c r="H89">
        <v>0</v>
      </c>
      <c r="I89" s="72">
        <f t="shared" si="4"/>
        <v>45.852105030504021</v>
      </c>
    </row>
    <row r="90" spans="1:9" x14ac:dyDescent="0.3">
      <c r="A90">
        <v>2021</v>
      </c>
      <c r="B90">
        <v>12</v>
      </c>
      <c r="C90">
        <v>31</v>
      </c>
      <c r="D90">
        <v>2022</v>
      </c>
      <c r="E90">
        <v>38.837186238780703</v>
      </c>
      <c r="F90">
        <v>7.4784789416641697</v>
      </c>
      <c r="G90">
        <v>0</v>
      </c>
      <c r="H90">
        <v>0</v>
      </c>
      <c r="I90" s="72">
        <f t="shared" si="4"/>
        <v>46.315665180444874</v>
      </c>
    </row>
    <row r="91" spans="1:9" x14ac:dyDescent="0.3">
      <c r="A91">
        <v>2022</v>
      </c>
      <c r="B91">
        <v>1</v>
      </c>
      <c r="C91">
        <v>31</v>
      </c>
      <c r="D91">
        <v>2022.085</v>
      </c>
      <c r="E91">
        <v>39.223989096747303</v>
      </c>
      <c r="F91">
        <v>7.5510203002274103</v>
      </c>
      <c r="G91">
        <v>0</v>
      </c>
      <c r="H91">
        <v>0</v>
      </c>
      <c r="I91" s="72">
        <f t="shared" si="4"/>
        <v>46.77500939697471</v>
      </c>
    </row>
    <row r="92" spans="1:9" x14ac:dyDescent="0.3">
      <c r="A92">
        <v>2022</v>
      </c>
      <c r="B92">
        <v>2</v>
      </c>
      <c r="C92">
        <v>28</v>
      </c>
      <c r="D92">
        <v>2022.162</v>
      </c>
      <c r="E92">
        <v>39.570373704768897</v>
      </c>
      <c r="F92">
        <v>7.6172100869971002</v>
      </c>
      <c r="G92">
        <v>0</v>
      </c>
      <c r="H92">
        <v>0</v>
      </c>
      <c r="I92" s="72">
        <f t="shared" si="4"/>
        <v>47.187583791765995</v>
      </c>
    </row>
    <row r="93" spans="1:9" x14ac:dyDescent="0.3">
      <c r="A93">
        <v>2022</v>
      </c>
      <c r="B93">
        <v>3</v>
      </c>
      <c r="C93">
        <v>31</v>
      </c>
      <c r="D93">
        <v>2022.2470000000001</v>
      </c>
      <c r="E93">
        <v>39.950590412262102</v>
      </c>
      <c r="F93">
        <v>7.6977118984518</v>
      </c>
      <c r="G93">
        <v>0</v>
      </c>
      <c r="H93">
        <v>0</v>
      </c>
      <c r="I93" s="72">
        <f t="shared" si="4"/>
        <v>47.648302310713902</v>
      </c>
    </row>
    <row r="94" spans="1:9" x14ac:dyDescent="0.3">
      <c r="A94">
        <v>2022</v>
      </c>
      <c r="B94">
        <v>4</v>
      </c>
      <c r="C94">
        <v>30</v>
      </c>
      <c r="D94">
        <v>2022.329</v>
      </c>
      <c r="E94">
        <v>40.314854680732203</v>
      </c>
      <c r="F94">
        <v>7.7852592761489898</v>
      </c>
      <c r="G94">
        <v>0</v>
      </c>
      <c r="H94">
        <v>0</v>
      </c>
      <c r="I94" s="72">
        <f t="shared" si="4"/>
        <v>48.100113956881195</v>
      </c>
    </row>
    <row r="95" spans="1:9" x14ac:dyDescent="0.3">
      <c r="A95">
        <v>2022</v>
      </c>
      <c r="B95">
        <v>5</v>
      </c>
      <c r="C95">
        <v>31</v>
      </c>
      <c r="D95">
        <v>2022.414</v>
      </c>
      <c r="E95">
        <v>40.687895366876397</v>
      </c>
      <c r="F95">
        <v>7.8761784638874301</v>
      </c>
      <c r="G95">
        <v>0</v>
      </c>
      <c r="H95">
        <v>0</v>
      </c>
      <c r="I95" s="72">
        <f t="shared" si="4"/>
        <v>48.564073830763824</v>
      </c>
    </row>
    <row r="96" spans="1:9" x14ac:dyDescent="0.3">
      <c r="A96">
        <v>2022</v>
      </c>
      <c r="B96">
        <v>6</v>
      </c>
      <c r="C96">
        <v>30</v>
      </c>
      <c r="D96">
        <v>2022.4960000000001</v>
      </c>
      <c r="E96">
        <v>41.045702945288902</v>
      </c>
      <c r="F96">
        <v>7.9948905905391401</v>
      </c>
      <c r="G96">
        <v>0</v>
      </c>
      <c r="H96">
        <v>0</v>
      </c>
      <c r="I96" s="106">
        <f t="shared" si="4"/>
        <v>49.040593535828044</v>
      </c>
    </row>
    <row r="97" spans="1:9" x14ac:dyDescent="0.3">
      <c r="A97">
        <v>2022</v>
      </c>
      <c r="B97">
        <v>7</v>
      </c>
      <c r="C97">
        <v>31</v>
      </c>
      <c r="D97">
        <v>2022.5809999999999</v>
      </c>
      <c r="E97">
        <v>41.4121595707811</v>
      </c>
      <c r="F97">
        <v>8.12564652635945</v>
      </c>
      <c r="G97">
        <v>0</v>
      </c>
      <c r="H97">
        <v>0</v>
      </c>
      <c r="I97" s="72">
        <f t="shared" si="4"/>
        <v>49.537806097140546</v>
      </c>
    </row>
    <row r="98" spans="1:9" x14ac:dyDescent="0.3">
      <c r="A98">
        <v>2022</v>
      </c>
      <c r="B98">
        <v>8</v>
      </c>
      <c r="C98">
        <v>31</v>
      </c>
      <c r="D98">
        <v>2022.6659999999999</v>
      </c>
      <c r="E98">
        <v>41.952759258272302</v>
      </c>
      <c r="F98">
        <v>8.26947694305127</v>
      </c>
      <c r="G98">
        <v>0</v>
      </c>
      <c r="H98">
        <v>0</v>
      </c>
      <c r="I98" s="72">
        <f t="shared" si="4"/>
        <v>50.222236201323568</v>
      </c>
    </row>
    <row r="99" spans="1:9" x14ac:dyDescent="0.3">
      <c r="A99">
        <v>2022</v>
      </c>
      <c r="B99">
        <v>9</v>
      </c>
      <c r="C99">
        <v>30</v>
      </c>
      <c r="D99">
        <v>2022.748</v>
      </c>
      <c r="E99">
        <v>42.303668211640101</v>
      </c>
      <c r="F99">
        <v>8.3971163055483</v>
      </c>
      <c r="G99">
        <v>0</v>
      </c>
      <c r="H99">
        <v>0</v>
      </c>
      <c r="I99" s="72">
        <f t="shared" si="4"/>
        <v>50.700784517188403</v>
      </c>
    </row>
    <row r="100" spans="1:9" x14ac:dyDescent="0.3">
      <c r="A100">
        <v>2022</v>
      </c>
      <c r="B100">
        <v>10</v>
      </c>
      <c r="C100">
        <v>31</v>
      </c>
      <c r="D100">
        <v>2022.8330000000001</v>
      </c>
      <c r="E100">
        <v>42.6583871080405</v>
      </c>
      <c r="F100">
        <v>8.4735618041359793</v>
      </c>
      <c r="G100">
        <v>0</v>
      </c>
      <c r="H100">
        <v>0</v>
      </c>
      <c r="I100" s="72">
        <f t="shared" si="4"/>
        <v>51.131948912176483</v>
      </c>
    </row>
    <row r="101" spans="1:9" x14ac:dyDescent="0.3">
      <c r="A101">
        <v>2022</v>
      </c>
      <c r="B101">
        <v>11</v>
      </c>
      <c r="C101">
        <v>30</v>
      </c>
      <c r="D101">
        <v>2022.915</v>
      </c>
      <c r="E101">
        <v>42.998621378493802</v>
      </c>
      <c r="F101">
        <v>8.5361534693803804</v>
      </c>
      <c r="G101">
        <v>0</v>
      </c>
      <c r="H101">
        <v>0</v>
      </c>
      <c r="I101" s="72">
        <f t="shared" si="4"/>
        <v>51.534774847874182</v>
      </c>
    </row>
    <row r="102" spans="1:9" x14ac:dyDescent="0.3">
      <c r="A102">
        <v>2022</v>
      </c>
      <c r="B102">
        <v>12</v>
      </c>
      <c r="C102">
        <v>31</v>
      </c>
      <c r="D102">
        <v>2023</v>
      </c>
      <c r="E102">
        <v>43.347082876030001</v>
      </c>
      <c r="F102">
        <v>8.5966301594826504</v>
      </c>
      <c r="G102">
        <v>0</v>
      </c>
      <c r="H102">
        <v>0</v>
      </c>
      <c r="I102" s="72">
        <f t="shared" si="4"/>
        <v>51.943713035512651</v>
      </c>
    </row>
    <row r="103" spans="1:9" x14ac:dyDescent="0.3">
      <c r="A103">
        <v>2023</v>
      </c>
      <c r="B103">
        <v>1</v>
      </c>
      <c r="C103">
        <v>31</v>
      </c>
      <c r="D103">
        <v>2023.085</v>
      </c>
      <c r="E103">
        <v>43.692409573771897</v>
      </c>
      <c r="F103">
        <v>8.6565105871154504</v>
      </c>
      <c r="G103">
        <v>0</v>
      </c>
      <c r="H103">
        <v>0</v>
      </c>
      <c r="I103" s="72">
        <f t="shared" si="4"/>
        <v>52.348920160887346</v>
      </c>
    </row>
    <row r="104" spans="1:9" x14ac:dyDescent="0.3">
      <c r="A104">
        <v>2023</v>
      </c>
      <c r="B104">
        <v>2</v>
      </c>
      <c r="C104">
        <v>28</v>
      </c>
      <c r="D104">
        <v>2023.162</v>
      </c>
      <c r="E104">
        <v>44.001648557926202</v>
      </c>
      <c r="F104">
        <v>8.7115554361325707</v>
      </c>
      <c r="G104">
        <v>0</v>
      </c>
      <c r="H104">
        <v>0</v>
      </c>
      <c r="I104" s="72">
        <f t="shared" si="4"/>
        <v>52.713203994058773</v>
      </c>
    </row>
    <row r="105" spans="1:9" x14ac:dyDescent="0.3">
      <c r="A105">
        <v>2023</v>
      </c>
      <c r="B105">
        <v>3</v>
      </c>
      <c r="C105">
        <v>31</v>
      </c>
      <c r="D105">
        <v>2023.2470000000001</v>
      </c>
      <c r="E105">
        <v>44.340949977967703</v>
      </c>
      <c r="F105">
        <v>8.7808514322272302</v>
      </c>
      <c r="G105">
        <v>0</v>
      </c>
      <c r="H105">
        <v>0</v>
      </c>
      <c r="I105" s="72">
        <f t="shared" si="4"/>
        <v>53.121801410194934</v>
      </c>
    </row>
    <row r="106" spans="1:9" x14ac:dyDescent="0.3">
      <c r="A106">
        <v>2023</v>
      </c>
      <c r="B106">
        <v>4</v>
      </c>
      <c r="C106">
        <v>30</v>
      </c>
      <c r="D106">
        <v>2023.329</v>
      </c>
      <c r="E106">
        <v>44.666215459373703</v>
      </c>
      <c r="F106">
        <v>8.8590636310701303</v>
      </c>
      <c r="G106">
        <v>0</v>
      </c>
      <c r="H106">
        <v>0</v>
      </c>
      <c r="I106" s="72">
        <f t="shared" si="4"/>
        <v>53.525279090443831</v>
      </c>
    </row>
    <row r="107" spans="1:9" x14ac:dyDescent="0.3">
      <c r="A107">
        <v>2023</v>
      </c>
      <c r="B107">
        <v>5</v>
      </c>
      <c r="C107">
        <v>31</v>
      </c>
      <c r="D107">
        <v>2023.414</v>
      </c>
      <c r="E107">
        <v>44.9993587988344</v>
      </c>
      <c r="F107">
        <v>8.9404520329950206</v>
      </c>
      <c r="G107">
        <v>0</v>
      </c>
      <c r="H107">
        <v>0</v>
      </c>
      <c r="I107" s="72">
        <f t="shared" si="4"/>
        <v>53.939810831829419</v>
      </c>
    </row>
    <row r="108" spans="1:9" x14ac:dyDescent="0.3">
      <c r="A108">
        <v>2023</v>
      </c>
      <c r="B108">
        <v>6</v>
      </c>
      <c r="C108">
        <v>30</v>
      </c>
      <c r="D108">
        <v>2023.4960000000001</v>
      </c>
      <c r="E108">
        <v>45.318915359122798</v>
      </c>
      <c r="F108">
        <v>9.0540672255478398</v>
      </c>
      <c r="G108">
        <v>0</v>
      </c>
      <c r="H108">
        <v>0</v>
      </c>
      <c r="I108" s="106">
        <f t="shared" si="4"/>
        <v>54.372982584670638</v>
      </c>
    </row>
    <row r="109" spans="1:9" x14ac:dyDescent="0.3">
      <c r="A109">
        <v>2023</v>
      </c>
      <c r="B109">
        <v>7</v>
      </c>
      <c r="C109">
        <v>31</v>
      </c>
      <c r="D109">
        <v>2023.5809999999999</v>
      </c>
      <c r="E109">
        <v>45.646218614894998</v>
      </c>
      <c r="F109">
        <v>9.1806027264424106</v>
      </c>
      <c r="G109">
        <v>0</v>
      </c>
      <c r="H109">
        <v>0</v>
      </c>
      <c r="I109" s="72">
        <f t="shared" si="4"/>
        <v>54.826821341337407</v>
      </c>
    </row>
    <row r="110" spans="1:9" x14ac:dyDescent="0.3">
      <c r="A110">
        <v>2023</v>
      </c>
      <c r="B110">
        <v>8</v>
      </c>
      <c r="C110">
        <v>31</v>
      </c>
      <c r="D110">
        <v>2023.6659999999999</v>
      </c>
      <c r="E110">
        <v>45.971901284299499</v>
      </c>
      <c r="F110">
        <v>9.3216343182541799</v>
      </c>
      <c r="G110">
        <v>0</v>
      </c>
      <c r="H110">
        <v>0</v>
      </c>
      <c r="I110" s="72">
        <f t="shared" si="4"/>
        <v>55.293535602553675</v>
      </c>
    </row>
    <row r="111" spans="1:9" x14ac:dyDescent="0.3">
      <c r="A111">
        <v>2023</v>
      </c>
      <c r="B111">
        <v>9</v>
      </c>
      <c r="C111">
        <v>30</v>
      </c>
      <c r="D111">
        <v>2023.748</v>
      </c>
      <c r="E111">
        <v>46.282920410709401</v>
      </c>
      <c r="F111">
        <v>9.4451657322936899</v>
      </c>
      <c r="G111">
        <v>0</v>
      </c>
      <c r="H111">
        <v>0</v>
      </c>
      <c r="I111" s="72">
        <f t="shared" si="4"/>
        <v>55.72808614300309</v>
      </c>
    </row>
    <row r="112" spans="1:9" x14ac:dyDescent="0.3">
      <c r="A112">
        <v>2023</v>
      </c>
      <c r="B112">
        <v>10</v>
      </c>
      <c r="C112">
        <v>31</v>
      </c>
      <c r="D112">
        <v>2023.8330000000001</v>
      </c>
      <c r="E112">
        <v>46.601336262413703</v>
      </c>
      <c r="F112">
        <v>9.5106072521863894</v>
      </c>
      <c r="G112">
        <v>0</v>
      </c>
      <c r="H112">
        <v>0</v>
      </c>
      <c r="I112" s="72">
        <f t="shared" si="4"/>
        <v>56.111943514600092</v>
      </c>
    </row>
    <row r="113" spans="1:9" x14ac:dyDescent="0.3">
      <c r="A113">
        <v>2023</v>
      </c>
      <c r="B113">
        <v>11</v>
      </c>
      <c r="C113">
        <v>30</v>
      </c>
      <c r="D113">
        <v>2023.915</v>
      </c>
      <c r="E113">
        <v>46.906785550250397</v>
      </c>
      <c r="F113">
        <v>9.5613817599622895</v>
      </c>
      <c r="G113">
        <v>0</v>
      </c>
      <c r="H113">
        <v>0</v>
      </c>
      <c r="I113" s="72">
        <f t="shared" si="4"/>
        <v>56.468167310212685</v>
      </c>
    </row>
    <row r="114" spans="1:9" x14ac:dyDescent="0.3">
      <c r="A114">
        <v>2023</v>
      </c>
      <c r="B114">
        <v>12</v>
      </c>
      <c r="C114">
        <v>31</v>
      </c>
      <c r="D114">
        <v>2024</v>
      </c>
      <c r="E114">
        <v>47.219660709466098</v>
      </c>
      <c r="F114">
        <v>9.6093875324606408</v>
      </c>
      <c r="G114">
        <v>0</v>
      </c>
      <c r="H114">
        <v>0</v>
      </c>
      <c r="I114" s="72">
        <f t="shared" si="4"/>
        <v>56.829048241926742</v>
      </c>
    </row>
    <row r="115" spans="1:9" x14ac:dyDescent="0.3">
      <c r="A115">
        <v>2024</v>
      </c>
      <c r="B115">
        <v>1</v>
      </c>
      <c r="C115">
        <v>31</v>
      </c>
      <c r="D115">
        <v>2024.085</v>
      </c>
      <c r="E115">
        <v>47.529764393532297</v>
      </c>
      <c r="F115">
        <v>9.6569623088718508</v>
      </c>
      <c r="G115">
        <v>0</v>
      </c>
      <c r="H115">
        <v>0</v>
      </c>
      <c r="I115" s="72">
        <f t="shared" si="4"/>
        <v>57.186726702404144</v>
      </c>
    </row>
    <row r="116" spans="1:9" x14ac:dyDescent="0.3">
      <c r="A116">
        <v>2024</v>
      </c>
      <c r="B116">
        <v>2</v>
      </c>
      <c r="C116">
        <v>29</v>
      </c>
      <c r="D116">
        <v>2024.164</v>
      </c>
      <c r="E116">
        <v>47.817378597610599</v>
      </c>
      <c r="F116">
        <v>9.7032882984573998</v>
      </c>
      <c r="G116">
        <v>0</v>
      </c>
      <c r="H116">
        <v>0</v>
      </c>
      <c r="I116" s="72">
        <f t="shared" si="4"/>
        <v>57.520666896068001</v>
      </c>
    </row>
    <row r="117" spans="1:9" x14ac:dyDescent="0.3">
      <c r="A117">
        <v>2024</v>
      </c>
      <c r="B117">
        <v>3</v>
      </c>
      <c r="C117">
        <v>31</v>
      </c>
      <c r="D117">
        <v>2024.249</v>
      </c>
      <c r="E117">
        <v>48.122088604930902</v>
      </c>
      <c r="F117">
        <v>9.7620580036261906</v>
      </c>
      <c r="G117">
        <v>0</v>
      </c>
      <c r="H117">
        <v>0</v>
      </c>
      <c r="I117" s="72">
        <f t="shared" si="4"/>
        <v>57.884146608557089</v>
      </c>
    </row>
    <row r="118" spans="1:9" x14ac:dyDescent="0.3">
      <c r="A118">
        <v>2024</v>
      </c>
      <c r="B118">
        <v>4</v>
      </c>
      <c r="C118">
        <v>30</v>
      </c>
      <c r="D118">
        <v>2024.3309999999999</v>
      </c>
      <c r="E118">
        <v>48.414280557580597</v>
      </c>
      <c r="F118">
        <v>9.8308780889348402</v>
      </c>
      <c r="G118">
        <v>0</v>
      </c>
      <c r="H118">
        <v>0</v>
      </c>
      <c r="I118" s="72">
        <f t="shared" si="4"/>
        <v>58.245158646515435</v>
      </c>
    </row>
    <row r="119" spans="1:9" x14ac:dyDescent="0.3">
      <c r="A119">
        <v>2024</v>
      </c>
      <c r="B119">
        <v>5</v>
      </c>
      <c r="C119">
        <v>31</v>
      </c>
      <c r="D119">
        <v>2024.415</v>
      </c>
      <c r="E119">
        <v>48.713600648807798</v>
      </c>
      <c r="F119">
        <v>9.90476787135119</v>
      </c>
      <c r="G119">
        <v>0</v>
      </c>
      <c r="H119">
        <v>0</v>
      </c>
      <c r="I119" s="72">
        <f t="shared" si="4"/>
        <v>58.618368520158988</v>
      </c>
    </row>
    <row r="120" spans="1:9" x14ac:dyDescent="0.3">
      <c r="A120">
        <v>2024</v>
      </c>
      <c r="B120">
        <v>6</v>
      </c>
      <c r="C120">
        <v>30</v>
      </c>
      <c r="D120">
        <v>2024.4970000000001</v>
      </c>
      <c r="E120">
        <v>49.000764765930803</v>
      </c>
      <c r="F120">
        <v>10.0131589984763</v>
      </c>
      <c r="G120">
        <v>0</v>
      </c>
      <c r="H120">
        <v>0</v>
      </c>
      <c r="I120" s="106">
        <f t="shared" si="4"/>
        <v>59.013923764407103</v>
      </c>
    </row>
    <row r="121" spans="1:9" x14ac:dyDescent="0.3">
      <c r="A121">
        <v>2024</v>
      </c>
      <c r="B121">
        <v>7</v>
      </c>
      <c r="C121">
        <v>31</v>
      </c>
      <c r="D121">
        <v>2024.5820000000001</v>
      </c>
      <c r="E121">
        <v>49.2937640031558</v>
      </c>
      <c r="F121">
        <v>10.135745302665701</v>
      </c>
      <c r="G121">
        <v>0</v>
      </c>
      <c r="H121">
        <v>0</v>
      </c>
      <c r="I121" s="72">
        <f t="shared" si="4"/>
        <v>59.429509305821497</v>
      </c>
    </row>
    <row r="122" spans="1:9" x14ac:dyDescent="0.3">
      <c r="A122">
        <v>2024</v>
      </c>
      <c r="B122">
        <v>8</v>
      </c>
      <c r="C122">
        <v>31</v>
      </c>
      <c r="D122">
        <v>2024.6669999999999</v>
      </c>
      <c r="E122">
        <v>49.580701457830699</v>
      </c>
      <c r="F122">
        <v>10.273187720968499</v>
      </c>
      <c r="G122">
        <v>0</v>
      </c>
      <c r="H122">
        <v>0</v>
      </c>
      <c r="I122" s="72">
        <f t="shared" si="4"/>
        <v>59.8538891787992</v>
      </c>
    </row>
    <row r="123" spans="1:9" x14ac:dyDescent="0.3">
      <c r="A123">
        <v>2024</v>
      </c>
      <c r="B123">
        <v>9</v>
      </c>
      <c r="C123">
        <v>30</v>
      </c>
      <c r="D123">
        <v>2024.749</v>
      </c>
      <c r="E123">
        <v>49.860436104274598</v>
      </c>
      <c r="F123">
        <v>10.390395421489201</v>
      </c>
      <c r="G123">
        <v>0</v>
      </c>
      <c r="H123">
        <v>0</v>
      </c>
      <c r="I123" s="72">
        <f t="shared" si="4"/>
        <v>60.2508315257638</v>
      </c>
    </row>
    <row r="124" spans="1:9" x14ac:dyDescent="0.3">
      <c r="A124">
        <v>2024</v>
      </c>
      <c r="B124">
        <v>10</v>
      </c>
      <c r="C124">
        <v>31</v>
      </c>
      <c r="D124">
        <v>2024.8330000000001</v>
      </c>
      <c r="E124">
        <v>50.146906448391398</v>
      </c>
      <c r="F124">
        <v>10.4455972373483</v>
      </c>
      <c r="G124">
        <v>0</v>
      </c>
      <c r="H124">
        <v>0</v>
      </c>
      <c r="I124" s="72">
        <f t="shared" si="4"/>
        <v>60.5925036857397</v>
      </c>
    </row>
    <row r="125" spans="1:9" x14ac:dyDescent="0.3">
      <c r="A125">
        <v>2024</v>
      </c>
      <c r="B125">
        <v>11</v>
      </c>
      <c r="C125">
        <v>30</v>
      </c>
      <c r="D125">
        <v>2024.915</v>
      </c>
      <c r="E125">
        <v>50.421768891674802</v>
      </c>
      <c r="F125">
        <v>10.485598439585599</v>
      </c>
      <c r="G125">
        <v>0</v>
      </c>
      <c r="H125">
        <v>0</v>
      </c>
      <c r="I125" s="72">
        <f t="shared" si="4"/>
        <v>60.907367331260403</v>
      </c>
    </row>
    <row r="126" spans="1:9" x14ac:dyDescent="0.3">
      <c r="A126">
        <v>2024</v>
      </c>
      <c r="B126">
        <v>12</v>
      </c>
      <c r="C126">
        <v>31</v>
      </c>
      <c r="D126">
        <v>2025</v>
      </c>
      <c r="E126">
        <v>50.703374286559601</v>
      </c>
      <c r="F126">
        <v>10.522407176196401</v>
      </c>
      <c r="G126">
        <v>0</v>
      </c>
      <c r="H126">
        <v>0</v>
      </c>
      <c r="I126" s="72">
        <f t="shared" si="4"/>
        <v>61.225781462756004</v>
      </c>
    </row>
    <row r="127" spans="1:9" x14ac:dyDescent="0.3">
      <c r="A127">
        <v>2025</v>
      </c>
      <c r="B127">
        <v>1</v>
      </c>
      <c r="C127">
        <v>31</v>
      </c>
      <c r="D127">
        <v>2025.085</v>
      </c>
      <c r="E127">
        <v>50.982547772176503</v>
      </c>
      <c r="F127">
        <v>10.559017955099399</v>
      </c>
      <c r="G127">
        <v>0</v>
      </c>
      <c r="H127">
        <v>0</v>
      </c>
      <c r="I127" s="72">
        <f t="shared" si="4"/>
        <v>61.541565727275902</v>
      </c>
    </row>
    <row r="128" spans="1:9" x14ac:dyDescent="0.3">
      <c r="A128">
        <v>2025</v>
      </c>
      <c r="B128">
        <v>2</v>
      </c>
      <c r="C128">
        <v>28</v>
      </c>
      <c r="D128">
        <v>2025.162</v>
      </c>
      <c r="E128">
        <v>51.232636584426899</v>
      </c>
      <c r="F128">
        <v>10.5941222287668</v>
      </c>
      <c r="G128">
        <v>0</v>
      </c>
      <c r="H128">
        <v>0</v>
      </c>
      <c r="I128" s="72">
        <f t="shared" si="4"/>
        <v>61.826758813193699</v>
      </c>
    </row>
    <row r="129" spans="1:9" x14ac:dyDescent="0.3">
      <c r="A129">
        <v>2025</v>
      </c>
      <c r="B129">
        <v>3</v>
      </c>
      <c r="C129">
        <v>31</v>
      </c>
      <c r="D129">
        <v>2025.2470000000001</v>
      </c>
      <c r="E129">
        <v>51.507176650107802</v>
      </c>
      <c r="F129">
        <v>10.6431645273945</v>
      </c>
      <c r="G129">
        <v>0</v>
      </c>
      <c r="H129">
        <v>0</v>
      </c>
      <c r="I129" s="72">
        <f t="shared" si="4"/>
        <v>62.150341177502298</v>
      </c>
    </row>
    <row r="130" spans="1:9" x14ac:dyDescent="0.3">
      <c r="A130">
        <v>2025</v>
      </c>
      <c r="B130">
        <v>4</v>
      </c>
      <c r="C130">
        <v>30</v>
      </c>
      <c r="D130">
        <v>2025.329</v>
      </c>
      <c r="E130">
        <v>51.770513635820201</v>
      </c>
      <c r="F130">
        <v>10.703769252377899</v>
      </c>
      <c r="G130">
        <v>0</v>
      </c>
      <c r="H130">
        <v>0</v>
      </c>
      <c r="I130" s="72">
        <f t="shared" si="4"/>
        <v>62.474282888198104</v>
      </c>
    </row>
    <row r="131" spans="1:9" x14ac:dyDescent="0.3">
      <c r="A131">
        <v>2025</v>
      </c>
      <c r="B131">
        <v>5</v>
      </c>
      <c r="C131">
        <v>31</v>
      </c>
      <c r="D131">
        <v>2025.414</v>
      </c>
      <c r="E131">
        <v>52.0403387662382</v>
      </c>
      <c r="F131">
        <v>10.769424652405201</v>
      </c>
      <c r="G131">
        <v>0</v>
      </c>
      <c r="H131">
        <v>0</v>
      </c>
      <c r="I131" s="72">
        <f t="shared" si="4"/>
        <v>62.809763418643399</v>
      </c>
    </row>
    <row r="132" spans="1:9" x14ac:dyDescent="0.3">
      <c r="A132">
        <v>2025</v>
      </c>
      <c r="B132">
        <v>6</v>
      </c>
      <c r="C132">
        <v>30</v>
      </c>
      <c r="D132">
        <v>2025.4960000000001</v>
      </c>
      <c r="E132">
        <v>52.299268076072899</v>
      </c>
      <c r="F132">
        <v>10.873022916114801</v>
      </c>
      <c r="G132">
        <v>0</v>
      </c>
      <c r="H132">
        <v>0</v>
      </c>
      <c r="I132" s="106">
        <f t="shared" si="4"/>
        <v>63.172290992187698</v>
      </c>
    </row>
    <row r="133" spans="1:9" x14ac:dyDescent="0.3">
      <c r="A133">
        <v>2025</v>
      </c>
      <c r="B133">
        <v>7</v>
      </c>
      <c r="C133">
        <v>31</v>
      </c>
      <c r="D133">
        <v>2025.5809999999999</v>
      </c>
      <c r="E133">
        <v>52.564588447095801</v>
      </c>
      <c r="F133">
        <v>10.991534277373001</v>
      </c>
      <c r="G133">
        <v>0</v>
      </c>
      <c r="H133">
        <v>0</v>
      </c>
      <c r="I133" s="72">
        <f t="shared" si="4"/>
        <v>63.5561227244688</v>
      </c>
    </row>
    <row r="134" spans="1:9" x14ac:dyDescent="0.3">
      <c r="A134">
        <v>2025</v>
      </c>
      <c r="B134">
        <v>8</v>
      </c>
      <c r="C134">
        <v>31</v>
      </c>
      <c r="D134">
        <v>2025.6659999999999</v>
      </c>
      <c r="E134">
        <v>52.701706053011499</v>
      </c>
      <c r="F134">
        <v>11.1260421231064</v>
      </c>
      <c r="G134">
        <v>0</v>
      </c>
      <c r="H134">
        <v>0</v>
      </c>
      <c r="I134" s="72">
        <f t="shared" si="4"/>
        <v>63.8277481761179</v>
      </c>
    </row>
    <row r="135" spans="1:9" x14ac:dyDescent="0.3">
      <c r="A135">
        <v>2025</v>
      </c>
      <c r="B135">
        <v>9</v>
      </c>
      <c r="C135">
        <v>30</v>
      </c>
      <c r="D135">
        <v>2025.748</v>
      </c>
      <c r="E135">
        <v>52.828713491603501</v>
      </c>
      <c r="F135">
        <v>11.2390475153107</v>
      </c>
      <c r="G135">
        <v>0</v>
      </c>
      <c r="H135">
        <v>0</v>
      </c>
      <c r="I135" s="72">
        <f t="shared" si="4"/>
        <v>64.067761006914196</v>
      </c>
    </row>
    <row r="136" spans="1:9" x14ac:dyDescent="0.3">
      <c r="A136">
        <v>2025</v>
      </c>
      <c r="B136">
        <v>10</v>
      </c>
      <c r="C136">
        <v>31</v>
      </c>
      <c r="D136">
        <v>2025.8330000000001</v>
      </c>
      <c r="E136">
        <v>52.959406929063398</v>
      </c>
      <c r="F136">
        <v>11.2844303932467</v>
      </c>
      <c r="G136">
        <v>0</v>
      </c>
      <c r="H136">
        <v>0</v>
      </c>
      <c r="I136" s="72">
        <f t="shared" ref="I136:I199" si="5">F136+E136</f>
        <v>64.2438373223101</v>
      </c>
    </row>
    <row r="137" spans="1:9" x14ac:dyDescent="0.3">
      <c r="A137">
        <v>2025</v>
      </c>
      <c r="B137">
        <v>11</v>
      </c>
      <c r="C137">
        <v>30</v>
      </c>
      <c r="D137">
        <v>2025.915</v>
      </c>
      <c r="E137">
        <v>53.085283137659303</v>
      </c>
      <c r="F137">
        <v>11.313706261633801</v>
      </c>
      <c r="G137">
        <v>0</v>
      </c>
      <c r="H137">
        <v>0</v>
      </c>
      <c r="I137" s="72">
        <f t="shared" si="5"/>
        <v>64.3989893992931</v>
      </c>
    </row>
    <row r="138" spans="1:9" x14ac:dyDescent="0.3">
      <c r="A138">
        <v>2025</v>
      </c>
      <c r="B138">
        <v>12</v>
      </c>
      <c r="C138">
        <v>31</v>
      </c>
      <c r="D138">
        <v>2026</v>
      </c>
      <c r="E138">
        <v>53.214808487768998</v>
      </c>
      <c r="F138">
        <v>11.3389088524708</v>
      </c>
      <c r="G138">
        <v>0</v>
      </c>
      <c r="H138">
        <v>0</v>
      </c>
      <c r="I138" s="72">
        <f t="shared" si="5"/>
        <v>64.5537173402398</v>
      </c>
    </row>
    <row r="139" spans="1:9" x14ac:dyDescent="0.3">
      <c r="A139">
        <v>2026</v>
      </c>
      <c r="B139">
        <v>1</v>
      </c>
      <c r="C139">
        <v>31</v>
      </c>
      <c r="D139">
        <v>2026.085</v>
      </c>
      <c r="E139">
        <v>53.3437867678903</v>
      </c>
      <c r="F139">
        <v>11.3637261304702</v>
      </c>
      <c r="G139">
        <v>0</v>
      </c>
      <c r="H139">
        <v>0</v>
      </c>
      <c r="I139" s="72">
        <f t="shared" si="5"/>
        <v>64.707512898360505</v>
      </c>
    </row>
    <row r="140" spans="1:9" x14ac:dyDescent="0.3">
      <c r="A140">
        <v>2026</v>
      </c>
      <c r="B140">
        <v>2</v>
      </c>
      <c r="C140">
        <v>28</v>
      </c>
      <c r="D140">
        <v>2026.162</v>
      </c>
      <c r="E140">
        <v>53.459815603393999</v>
      </c>
      <c r="F140">
        <v>11.3881721736928</v>
      </c>
      <c r="G140">
        <v>0</v>
      </c>
      <c r="H140">
        <v>0</v>
      </c>
      <c r="I140" s="72">
        <f t="shared" si="5"/>
        <v>64.8479877770868</v>
      </c>
    </row>
    <row r="141" spans="1:9" x14ac:dyDescent="0.3">
      <c r="A141">
        <v>2026</v>
      </c>
      <c r="B141">
        <v>3</v>
      </c>
      <c r="C141">
        <v>31</v>
      </c>
      <c r="D141">
        <v>2026.2470000000001</v>
      </c>
      <c r="E141">
        <v>53.587761116101902</v>
      </c>
      <c r="F141">
        <v>11.425955435989399</v>
      </c>
      <c r="G141">
        <v>0</v>
      </c>
      <c r="H141">
        <v>0</v>
      </c>
      <c r="I141" s="72">
        <f t="shared" si="5"/>
        <v>65.013716552091296</v>
      </c>
    </row>
    <row r="142" spans="1:9" x14ac:dyDescent="0.3">
      <c r="A142">
        <v>2026</v>
      </c>
      <c r="B142">
        <v>4</v>
      </c>
      <c r="C142">
        <v>30</v>
      </c>
      <c r="D142">
        <v>2026.329</v>
      </c>
      <c r="E142">
        <v>53.711066844256997</v>
      </c>
      <c r="F142">
        <v>11.476432978006001</v>
      </c>
      <c r="G142">
        <v>0</v>
      </c>
      <c r="H142">
        <v>0</v>
      </c>
      <c r="I142" s="72">
        <f t="shared" si="5"/>
        <v>65.187499822262993</v>
      </c>
    </row>
    <row r="143" spans="1:9" x14ac:dyDescent="0.3">
      <c r="A143">
        <v>2026</v>
      </c>
      <c r="B143">
        <v>5</v>
      </c>
      <c r="C143">
        <v>31</v>
      </c>
      <c r="D143">
        <v>2026.414</v>
      </c>
      <c r="E143">
        <v>53.837956096926703</v>
      </c>
      <c r="F143">
        <v>11.5315743793401</v>
      </c>
      <c r="G143">
        <v>0</v>
      </c>
      <c r="H143">
        <v>0</v>
      </c>
      <c r="I143" s="72">
        <f t="shared" si="5"/>
        <v>65.369530476266803</v>
      </c>
    </row>
    <row r="144" spans="1:9" x14ac:dyDescent="0.3">
      <c r="A144">
        <v>2026</v>
      </c>
      <c r="B144">
        <v>6</v>
      </c>
      <c r="C144">
        <v>30</v>
      </c>
      <c r="D144">
        <v>2026.4960000000001</v>
      </c>
      <c r="E144">
        <v>53.960245257136897</v>
      </c>
      <c r="F144">
        <v>11.627456368283401</v>
      </c>
      <c r="G144">
        <v>0</v>
      </c>
      <c r="H144">
        <v>0</v>
      </c>
      <c r="I144" s="106">
        <f t="shared" si="5"/>
        <v>65.587701625420294</v>
      </c>
    </row>
    <row r="145" spans="1:9" x14ac:dyDescent="0.3">
      <c r="A145">
        <v>2026</v>
      </c>
      <c r="B145">
        <v>7</v>
      </c>
      <c r="C145">
        <v>31</v>
      </c>
      <c r="D145">
        <v>2026.5809999999999</v>
      </c>
      <c r="E145">
        <v>54.086089830280898</v>
      </c>
      <c r="F145">
        <v>11.7384752964194</v>
      </c>
      <c r="G145">
        <v>0</v>
      </c>
      <c r="H145">
        <v>0</v>
      </c>
      <c r="I145" s="72">
        <f t="shared" si="5"/>
        <v>65.824565126700293</v>
      </c>
    </row>
    <row r="146" spans="1:9" x14ac:dyDescent="0.3">
      <c r="A146">
        <v>2026</v>
      </c>
      <c r="B146">
        <v>8</v>
      </c>
      <c r="C146">
        <v>31</v>
      </c>
      <c r="D146">
        <v>2026.6659999999999</v>
      </c>
      <c r="E146">
        <v>54.211407897347698</v>
      </c>
      <c r="F146">
        <v>11.8665385004107</v>
      </c>
      <c r="G146">
        <v>0</v>
      </c>
      <c r="H146">
        <v>0</v>
      </c>
      <c r="I146" s="72">
        <f t="shared" si="5"/>
        <v>66.077946397758396</v>
      </c>
    </row>
    <row r="147" spans="1:9" x14ac:dyDescent="0.3">
      <c r="A147">
        <v>2026</v>
      </c>
      <c r="B147">
        <v>9</v>
      </c>
      <c r="C147">
        <v>30</v>
      </c>
      <c r="D147">
        <v>2026.748</v>
      </c>
      <c r="E147">
        <v>54.332184912044603</v>
      </c>
      <c r="F147">
        <v>11.9726815848654</v>
      </c>
      <c r="G147">
        <v>0</v>
      </c>
      <c r="H147">
        <v>0</v>
      </c>
      <c r="I147" s="72">
        <f t="shared" si="5"/>
        <v>66.304866496910009</v>
      </c>
    </row>
    <row r="148" spans="1:9" x14ac:dyDescent="0.3">
      <c r="A148">
        <v>2026</v>
      </c>
      <c r="B148">
        <v>10</v>
      </c>
      <c r="C148">
        <v>31</v>
      </c>
      <c r="D148">
        <v>2026.8330000000001</v>
      </c>
      <c r="E148">
        <v>54.456475521204702</v>
      </c>
      <c r="F148">
        <v>12.006938598782099</v>
      </c>
      <c r="G148">
        <v>0</v>
      </c>
      <c r="H148">
        <v>0</v>
      </c>
      <c r="I148" s="72">
        <f t="shared" si="5"/>
        <v>66.463414119986794</v>
      </c>
    </row>
    <row r="149" spans="1:9" x14ac:dyDescent="0.3">
      <c r="A149">
        <v>2026</v>
      </c>
      <c r="B149">
        <v>11</v>
      </c>
      <c r="C149">
        <v>30</v>
      </c>
      <c r="D149">
        <v>2026.915</v>
      </c>
      <c r="E149">
        <v>54.576198596407103</v>
      </c>
      <c r="F149">
        <v>12.024916108762699</v>
      </c>
      <c r="G149">
        <v>0</v>
      </c>
      <c r="H149">
        <v>0</v>
      </c>
      <c r="I149" s="72">
        <f t="shared" si="5"/>
        <v>66.601114705169806</v>
      </c>
    </row>
    <row r="150" spans="1:9" x14ac:dyDescent="0.3">
      <c r="A150">
        <v>2026</v>
      </c>
      <c r="B150">
        <v>12</v>
      </c>
      <c r="C150">
        <v>31</v>
      </c>
      <c r="D150">
        <v>2027</v>
      </c>
      <c r="E150">
        <v>54.699401228463799</v>
      </c>
      <c r="F150">
        <v>12.038486617526599</v>
      </c>
      <c r="G150">
        <v>0</v>
      </c>
      <c r="H150">
        <v>0</v>
      </c>
      <c r="I150" s="72">
        <f t="shared" si="5"/>
        <v>66.7378878459904</v>
      </c>
    </row>
    <row r="151" spans="1:9" x14ac:dyDescent="0.3">
      <c r="A151">
        <v>2027</v>
      </c>
      <c r="B151">
        <v>1</v>
      </c>
      <c r="C151">
        <v>31</v>
      </c>
      <c r="D151">
        <v>2027.085</v>
      </c>
      <c r="E151">
        <v>54.822092001959597</v>
      </c>
      <c r="F151">
        <v>12.0519745358186</v>
      </c>
      <c r="G151">
        <v>0</v>
      </c>
      <c r="H151">
        <v>0</v>
      </c>
      <c r="I151" s="72">
        <f t="shared" si="5"/>
        <v>66.874066537778191</v>
      </c>
    </row>
    <row r="152" spans="1:9" x14ac:dyDescent="0.3">
      <c r="A152">
        <v>2027</v>
      </c>
      <c r="B152">
        <v>2</v>
      </c>
      <c r="C152">
        <v>28</v>
      </c>
      <c r="D152">
        <v>2027.162</v>
      </c>
      <c r="E152">
        <v>54.932471897216701</v>
      </c>
      <c r="F152">
        <v>12.066554852962399</v>
      </c>
      <c r="G152">
        <v>0</v>
      </c>
      <c r="H152">
        <v>0</v>
      </c>
      <c r="I152" s="72">
        <f t="shared" si="5"/>
        <v>66.999026750179098</v>
      </c>
    </row>
    <row r="153" spans="1:9" x14ac:dyDescent="0.3">
      <c r="A153">
        <v>2027</v>
      </c>
      <c r="B153">
        <v>3</v>
      </c>
      <c r="C153">
        <v>31</v>
      </c>
      <c r="D153">
        <v>2027.2470000000001</v>
      </c>
      <c r="E153">
        <v>55.0541963642167</v>
      </c>
      <c r="F153">
        <v>12.094245126568801</v>
      </c>
      <c r="G153">
        <v>0</v>
      </c>
      <c r="H153">
        <v>0</v>
      </c>
      <c r="I153" s="72">
        <f t="shared" si="5"/>
        <v>67.148441490785501</v>
      </c>
    </row>
    <row r="154" spans="1:9" x14ac:dyDescent="0.3">
      <c r="A154">
        <v>2027</v>
      </c>
      <c r="B154">
        <v>4</v>
      </c>
      <c r="C154">
        <v>30</v>
      </c>
      <c r="D154">
        <v>2027.329</v>
      </c>
      <c r="E154">
        <v>55.171514699368302</v>
      </c>
      <c r="F154">
        <v>12.135944083322499</v>
      </c>
      <c r="G154">
        <v>0</v>
      </c>
      <c r="H154">
        <v>0</v>
      </c>
      <c r="I154" s="72">
        <f t="shared" si="5"/>
        <v>67.307458782690802</v>
      </c>
    </row>
    <row r="155" spans="1:9" x14ac:dyDescent="0.3">
      <c r="A155">
        <v>2027</v>
      </c>
      <c r="B155">
        <v>5</v>
      </c>
      <c r="C155">
        <v>31</v>
      </c>
      <c r="D155">
        <v>2027.414</v>
      </c>
      <c r="E155">
        <v>55.292250857621802</v>
      </c>
      <c r="F155">
        <v>12.182333675377301</v>
      </c>
      <c r="G155">
        <v>0</v>
      </c>
      <c r="H155">
        <v>0</v>
      </c>
      <c r="I155" s="72">
        <f t="shared" si="5"/>
        <v>67.474584532999103</v>
      </c>
    </row>
    <row r="156" spans="1:9" x14ac:dyDescent="0.3">
      <c r="A156">
        <v>2027</v>
      </c>
      <c r="B156">
        <v>6</v>
      </c>
      <c r="C156">
        <v>30</v>
      </c>
      <c r="D156">
        <v>2027.4960000000001</v>
      </c>
      <c r="E156">
        <v>55.408618009894901</v>
      </c>
      <c r="F156">
        <v>12.272070915096901</v>
      </c>
      <c r="G156">
        <v>0</v>
      </c>
      <c r="H156">
        <v>0</v>
      </c>
      <c r="I156" s="106">
        <f t="shared" si="5"/>
        <v>67.680688924991799</v>
      </c>
    </row>
    <row r="157" spans="1:9" x14ac:dyDescent="0.3">
      <c r="A157">
        <v>2027</v>
      </c>
      <c r="B157">
        <v>7</v>
      </c>
      <c r="C157">
        <v>31</v>
      </c>
      <c r="D157">
        <v>2027.5809999999999</v>
      </c>
      <c r="E157">
        <v>55.528376667162803</v>
      </c>
      <c r="F157">
        <v>12.377465002575001</v>
      </c>
      <c r="G157">
        <v>0</v>
      </c>
      <c r="H157">
        <v>0</v>
      </c>
      <c r="I157" s="72">
        <f t="shared" si="5"/>
        <v>67.905841669737811</v>
      </c>
    </row>
    <row r="158" spans="1:9" x14ac:dyDescent="0.3">
      <c r="A158">
        <v>2027</v>
      </c>
      <c r="B158">
        <v>8</v>
      </c>
      <c r="C158">
        <v>31</v>
      </c>
      <c r="D158">
        <v>2027.6659999999999</v>
      </c>
      <c r="E158">
        <v>55.647642663065902</v>
      </c>
      <c r="F158">
        <v>12.500923088550699</v>
      </c>
      <c r="G158">
        <v>0</v>
      </c>
      <c r="H158">
        <v>0</v>
      </c>
      <c r="I158" s="72">
        <f t="shared" si="5"/>
        <v>68.148565751616601</v>
      </c>
    </row>
    <row r="159" spans="1:9" x14ac:dyDescent="0.3">
      <c r="A159">
        <v>2027</v>
      </c>
      <c r="B159">
        <v>9</v>
      </c>
      <c r="C159">
        <v>30</v>
      </c>
      <c r="D159">
        <v>2027.748</v>
      </c>
      <c r="E159">
        <v>55.762594872526101</v>
      </c>
      <c r="F159">
        <v>12.602073147399199</v>
      </c>
      <c r="G159">
        <v>0</v>
      </c>
      <c r="H159">
        <v>0</v>
      </c>
      <c r="I159" s="72">
        <f t="shared" si="5"/>
        <v>68.364668019925304</v>
      </c>
    </row>
    <row r="160" spans="1:9" x14ac:dyDescent="0.3">
      <c r="A160">
        <v>2027</v>
      </c>
      <c r="B160">
        <v>10</v>
      </c>
      <c r="C160">
        <v>31</v>
      </c>
      <c r="D160">
        <v>2027.8330000000001</v>
      </c>
      <c r="E160">
        <v>55.880899429397999</v>
      </c>
      <c r="F160">
        <v>12.6278462311988</v>
      </c>
      <c r="G160">
        <v>0</v>
      </c>
      <c r="H160">
        <v>0</v>
      </c>
      <c r="I160" s="72">
        <f t="shared" si="5"/>
        <v>68.508745660596801</v>
      </c>
    </row>
    <row r="161" spans="1:9" x14ac:dyDescent="0.3">
      <c r="A161">
        <v>2027</v>
      </c>
      <c r="B161">
        <v>11</v>
      </c>
      <c r="C161">
        <v>30</v>
      </c>
      <c r="D161">
        <v>2027.915</v>
      </c>
      <c r="E161">
        <v>55.994871094801397</v>
      </c>
      <c r="F161">
        <v>12.637140810596801</v>
      </c>
      <c r="G161">
        <v>0</v>
      </c>
      <c r="H161">
        <v>0</v>
      </c>
      <c r="I161" s="72">
        <f t="shared" si="5"/>
        <v>68.632011905398201</v>
      </c>
    </row>
    <row r="162" spans="1:9" x14ac:dyDescent="0.3">
      <c r="A162">
        <v>2027</v>
      </c>
      <c r="B162">
        <v>12</v>
      </c>
      <c r="C162">
        <v>31</v>
      </c>
      <c r="D162">
        <v>2028</v>
      </c>
      <c r="E162">
        <v>56.1121615570448</v>
      </c>
      <c r="F162">
        <v>12.6417344142967</v>
      </c>
      <c r="G162">
        <v>0</v>
      </c>
      <c r="H162">
        <v>0</v>
      </c>
      <c r="I162" s="72">
        <f t="shared" si="5"/>
        <v>68.753895971341507</v>
      </c>
    </row>
    <row r="163" spans="1:9" x14ac:dyDescent="0.3">
      <c r="A163">
        <v>2028</v>
      </c>
      <c r="B163">
        <v>1</v>
      </c>
      <c r="C163">
        <v>31</v>
      </c>
      <c r="D163">
        <v>2028.085</v>
      </c>
      <c r="E163">
        <v>56.228972990837903</v>
      </c>
      <c r="F163">
        <v>12.6464549660984</v>
      </c>
      <c r="G163">
        <v>0</v>
      </c>
      <c r="H163">
        <v>0</v>
      </c>
      <c r="I163" s="72">
        <f t="shared" si="5"/>
        <v>68.875427956936306</v>
      </c>
    </row>
    <row r="164" spans="1:9" x14ac:dyDescent="0.3">
      <c r="A164">
        <v>2028</v>
      </c>
      <c r="B164">
        <v>2</v>
      </c>
      <c r="C164">
        <v>29</v>
      </c>
      <c r="D164">
        <v>2028.164</v>
      </c>
      <c r="E164">
        <v>56.337816892034603</v>
      </c>
      <c r="F164">
        <v>12.653988418959999</v>
      </c>
      <c r="G164">
        <v>0</v>
      </c>
      <c r="H164">
        <v>0</v>
      </c>
      <c r="I164" s="72">
        <f t="shared" si="5"/>
        <v>68.991805310994607</v>
      </c>
    </row>
    <row r="165" spans="1:9" x14ac:dyDescent="0.3">
      <c r="A165">
        <v>2028</v>
      </c>
      <c r="B165">
        <v>3</v>
      </c>
      <c r="C165">
        <v>31</v>
      </c>
      <c r="D165">
        <v>2028.249</v>
      </c>
      <c r="E165">
        <v>56.453708716746</v>
      </c>
      <c r="F165">
        <v>12.6744483243149</v>
      </c>
      <c r="G165">
        <v>0</v>
      </c>
      <c r="H165">
        <v>0</v>
      </c>
      <c r="I165" s="72">
        <f t="shared" si="5"/>
        <v>69.128157041060902</v>
      </c>
    </row>
    <row r="166" spans="1:9" x14ac:dyDescent="0.3">
      <c r="A166">
        <v>2028</v>
      </c>
      <c r="B166">
        <v>4</v>
      </c>
      <c r="C166">
        <v>30</v>
      </c>
      <c r="D166">
        <v>2028.3309999999999</v>
      </c>
      <c r="E166">
        <v>56.565413361363703</v>
      </c>
      <c r="F166">
        <v>12.709307950930301</v>
      </c>
      <c r="G166">
        <v>0</v>
      </c>
      <c r="H166">
        <v>0</v>
      </c>
      <c r="I166" s="72">
        <f t="shared" si="5"/>
        <v>69.274721312294005</v>
      </c>
    </row>
    <row r="167" spans="1:9" x14ac:dyDescent="0.3">
      <c r="A167">
        <v>2028</v>
      </c>
      <c r="B167">
        <v>5</v>
      </c>
      <c r="C167">
        <v>31</v>
      </c>
      <c r="D167">
        <v>2028.415</v>
      </c>
      <c r="E167">
        <v>56.680380345623099</v>
      </c>
      <c r="F167">
        <v>12.750746845968299</v>
      </c>
      <c r="G167">
        <v>0</v>
      </c>
      <c r="H167">
        <v>0</v>
      </c>
      <c r="I167" s="72">
        <f t="shared" si="5"/>
        <v>69.431127191591401</v>
      </c>
    </row>
    <row r="168" spans="1:9" x14ac:dyDescent="0.3">
      <c r="A168">
        <v>2028</v>
      </c>
      <c r="B168">
        <v>6</v>
      </c>
      <c r="C168">
        <v>30</v>
      </c>
      <c r="D168">
        <v>2028.4970000000001</v>
      </c>
      <c r="E168">
        <v>56.791194864721199</v>
      </c>
      <c r="F168">
        <v>12.8361893433384</v>
      </c>
      <c r="G168">
        <v>0</v>
      </c>
      <c r="H168">
        <v>0</v>
      </c>
      <c r="I168" s="106">
        <f t="shared" si="5"/>
        <v>69.627384208059595</v>
      </c>
    </row>
    <row r="169" spans="1:9" x14ac:dyDescent="0.3">
      <c r="A169">
        <v>2028</v>
      </c>
      <c r="B169">
        <v>7</v>
      </c>
      <c r="C169">
        <v>31</v>
      </c>
      <c r="D169">
        <v>2028.5820000000001</v>
      </c>
      <c r="E169">
        <v>56.905247066164499</v>
      </c>
      <c r="F169">
        <v>12.938134962114001</v>
      </c>
      <c r="G169">
        <v>0</v>
      </c>
      <c r="H169">
        <v>0</v>
      </c>
      <c r="I169" s="72">
        <f t="shared" si="5"/>
        <v>69.843382028278498</v>
      </c>
    </row>
    <row r="170" spans="1:9" x14ac:dyDescent="0.3">
      <c r="A170">
        <v>2028</v>
      </c>
      <c r="B170">
        <v>8</v>
      </c>
      <c r="C170">
        <v>31</v>
      </c>
      <c r="D170">
        <v>2028.6669999999999</v>
      </c>
      <c r="E170">
        <v>57.018838193574602</v>
      </c>
      <c r="F170">
        <v>13.0577810328806</v>
      </c>
      <c r="G170">
        <v>0</v>
      </c>
      <c r="H170">
        <v>0</v>
      </c>
      <c r="I170" s="72">
        <f t="shared" si="5"/>
        <v>70.076619226455207</v>
      </c>
    </row>
    <row r="171" spans="1:9" x14ac:dyDescent="0.3">
      <c r="A171">
        <v>2028</v>
      </c>
      <c r="B171">
        <v>9</v>
      </c>
      <c r="C171">
        <v>30</v>
      </c>
      <c r="D171">
        <v>2028.749</v>
      </c>
      <c r="E171">
        <v>57.1283284895881</v>
      </c>
      <c r="F171">
        <v>13.1522710156933</v>
      </c>
      <c r="G171">
        <v>0</v>
      </c>
      <c r="H171">
        <v>0</v>
      </c>
      <c r="I171" s="72">
        <f t="shared" si="5"/>
        <v>70.280599505281401</v>
      </c>
    </row>
    <row r="172" spans="1:9" x14ac:dyDescent="0.3">
      <c r="A172">
        <v>2028</v>
      </c>
      <c r="B172">
        <v>10</v>
      </c>
      <c r="C172">
        <v>31</v>
      </c>
      <c r="D172">
        <v>2028.8330000000001</v>
      </c>
      <c r="E172">
        <v>57.241019774593902</v>
      </c>
      <c r="F172">
        <v>13.170791161763001</v>
      </c>
      <c r="G172">
        <v>0</v>
      </c>
      <c r="H172">
        <v>0</v>
      </c>
      <c r="I172" s="72">
        <f t="shared" si="5"/>
        <v>70.4118109363569</v>
      </c>
    </row>
    <row r="173" spans="1:9" x14ac:dyDescent="0.3">
      <c r="A173">
        <v>2028</v>
      </c>
      <c r="B173">
        <v>11</v>
      </c>
      <c r="C173">
        <v>30</v>
      </c>
      <c r="D173">
        <v>2028.915</v>
      </c>
      <c r="E173">
        <v>57.349593429005701</v>
      </c>
      <c r="F173">
        <v>13.1730184810342</v>
      </c>
      <c r="G173">
        <v>0</v>
      </c>
      <c r="H173">
        <v>0</v>
      </c>
      <c r="I173" s="72">
        <f t="shared" si="5"/>
        <v>70.522611910039899</v>
      </c>
    </row>
    <row r="174" spans="1:9" x14ac:dyDescent="0.3">
      <c r="A174">
        <v>2028</v>
      </c>
      <c r="B174">
        <v>12</v>
      </c>
      <c r="C174">
        <v>31</v>
      </c>
      <c r="D174">
        <v>2029</v>
      </c>
      <c r="E174">
        <v>57.461338862957703</v>
      </c>
      <c r="F174">
        <v>13.170466079817899</v>
      </c>
      <c r="G174">
        <v>0</v>
      </c>
      <c r="H174">
        <v>0</v>
      </c>
      <c r="I174" s="72">
        <f t="shared" si="5"/>
        <v>70.631804942775602</v>
      </c>
    </row>
    <row r="175" spans="1:9" x14ac:dyDescent="0.3">
      <c r="A175">
        <v>2029</v>
      </c>
      <c r="B175">
        <v>1</v>
      </c>
      <c r="C175">
        <v>31</v>
      </c>
      <c r="D175">
        <v>2029.085</v>
      </c>
      <c r="E175">
        <v>57.572635882590703</v>
      </c>
      <c r="F175">
        <v>13.1682843869163</v>
      </c>
      <c r="G175">
        <v>0</v>
      </c>
      <c r="H175">
        <v>0</v>
      </c>
      <c r="I175" s="72">
        <f t="shared" si="5"/>
        <v>70.740920269507001</v>
      </c>
    </row>
    <row r="176" spans="1:9" x14ac:dyDescent="0.3">
      <c r="A176">
        <v>2029</v>
      </c>
      <c r="B176">
        <v>2</v>
      </c>
      <c r="C176">
        <v>28</v>
      </c>
      <c r="D176">
        <v>2029.162</v>
      </c>
      <c r="E176">
        <v>57.672778858045596</v>
      </c>
      <c r="F176">
        <v>13.1695119670589</v>
      </c>
      <c r="G176">
        <v>0</v>
      </c>
      <c r="H176">
        <v>0</v>
      </c>
      <c r="I176" s="72">
        <f t="shared" si="5"/>
        <v>70.842290825104499</v>
      </c>
    </row>
    <row r="177" spans="1:9" x14ac:dyDescent="0.3">
      <c r="A177">
        <v>2029</v>
      </c>
      <c r="B177">
        <v>3</v>
      </c>
      <c r="C177">
        <v>31</v>
      </c>
      <c r="D177">
        <v>2029.2470000000001</v>
      </c>
      <c r="E177">
        <v>57.783229261728401</v>
      </c>
      <c r="F177">
        <v>13.1837635430664</v>
      </c>
      <c r="G177">
        <v>0</v>
      </c>
      <c r="H177">
        <v>0</v>
      </c>
      <c r="I177" s="72">
        <f t="shared" si="5"/>
        <v>70.966992804794799</v>
      </c>
    </row>
    <row r="178" spans="1:9" x14ac:dyDescent="0.3">
      <c r="A178">
        <v>2029</v>
      </c>
      <c r="B178">
        <v>4</v>
      </c>
      <c r="C178">
        <v>30</v>
      </c>
      <c r="D178">
        <v>2029.329</v>
      </c>
      <c r="E178">
        <v>57.889696568022799</v>
      </c>
      <c r="F178">
        <v>13.213244740095</v>
      </c>
      <c r="G178">
        <v>0</v>
      </c>
      <c r="H178">
        <v>0</v>
      </c>
      <c r="I178" s="72">
        <f t="shared" si="5"/>
        <v>71.102941308117806</v>
      </c>
    </row>
    <row r="179" spans="1:9" x14ac:dyDescent="0.3">
      <c r="A179">
        <v>2029</v>
      </c>
      <c r="B179">
        <v>5</v>
      </c>
      <c r="C179">
        <v>31</v>
      </c>
      <c r="D179">
        <v>2029.414</v>
      </c>
      <c r="E179">
        <v>57.999280960709903</v>
      </c>
      <c r="F179">
        <v>13.249363020616601</v>
      </c>
      <c r="G179">
        <v>0</v>
      </c>
      <c r="H179">
        <v>0</v>
      </c>
      <c r="I179" s="72">
        <f t="shared" si="5"/>
        <v>71.248643981326509</v>
      </c>
    </row>
    <row r="180" spans="1:9" x14ac:dyDescent="0.3">
      <c r="A180">
        <v>2029</v>
      </c>
      <c r="B180">
        <v>6</v>
      </c>
      <c r="C180">
        <v>30</v>
      </c>
      <c r="D180">
        <v>2029.4960000000001</v>
      </c>
      <c r="E180">
        <v>58.104914727345502</v>
      </c>
      <c r="F180">
        <v>13.3312314538087</v>
      </c>
      <c r="G180">
        <v>0</v>
      </c>
      <c r="H180">
        <v>0</v>
      </c>
      <c r="I180" s="106">
        <f t="shared" si="5"/>
        <v>71.4361461811542</v>
      </c>
    </row>
    <row r="181" spans="1:9" x14ac:dyDescent="0.3">
      <c r="A181">
        <v>2029</v>
      </c>
      <c r="B181">
        <v>7</v>
      </c>
      <c r="C181">
        <v>31</v>
      </c>
      <c r="D181">
        <v>2029.5809999999999</v>
      </c>
      <c r="E181">
        <v>58.213642453449303</v>
      </c>
      <c r="F181">
        <v>13.4299788821869</v>
      </c>
      <c r="G181">
        <v>0</v>
      </c>
      <c r="H181">
        <v>0</v>
      </c>
      <c r="I181" s="72">
        <f t="shared" si="5"/>
        <v>71.643621335636198</v>
      </c>
    </row>
    <row r="182" spans="1:9" x14ac:dyDescent="0.3">
      <c r="A182">
        <v>2029</v>
      </c>
      <c r="B182">
        <v>8</v>
      </c>
      <c r="C182">
        <v>31</v>
      </c>
      <c r="D182">
        <v>2029.6659999999999</v>
      </c>
      <c r="E182">
        <v>58.321938368698603</v>
      </c>
      <c r="F182">
        <v>13.547094046299</v>
      </c>
      <c r="G182">
        <v>0</v>
      </c>
      <c r="H182">
        <v>0</v>
      </c>
      <c r="I182" s="72">
        <f t="shared" si="5"/>
        <v>71.869032414997605</v>
      </c>
    </row>
    <row r="183" spans="1:9" x14ac:dyDescent="0.3">
      <c r="A183">
        <v>2029</v>
      </c>
      <c r="B183">
        <v>9</v>
      </c>
      <c r="C183">
        <v>30</v>
      </c>
      <c r="D183">
        <v>2029.748</v>
      </c>
      <c r="E183">
        <v>58.426331957127402</v>
      </c>
      <c r="F183">
        <v>13.6386398610417</v>
      </c>
      <c r="G183">
        <v>0</v>
      </c>
      <c r="H183">
        <v>0</v>
      </c>
      <c r="I183" s="72">
        <f t="shared" si="5"/>
        <v>72.064971818169099</v>
      </c>
    </row>
    <row r="184" spans="1:9" x14ac:dyDescent="0.3">
      <c r="A184">
        <v>2029</v>
      </c>
      <c r="B184">
        <v>10</v>
      </c>
      <c r="C184">
        <v>31</v>
      </c>
      <c r="D184">
        <v>2029.8330000000001</v>
      </c>
      <c r="E184">
        <v>58.533785082577197</v>
      </c>
      <c r="F184">
        <v>13.651752538129101</v>
      </c>
      <c r="G184">
        <v>0</v>
      </c>
      <c r="H184">
        <v>0</v>
      </c>
      <c r="I184" s="72">
        <f t="shared" si="5"/>
        <v>72.185537620706299</v>
      </c>
    </row>
    <row r="185" spans="1:9" x14ac:dyDescent="0.3">
      <c r="A185">
        <v>2029</v>
      </c>
      <c r="B185">
        <v>11</v>
      </c>
      <c r="C185">
        <v>30</v>
      </c>
      <c r="D185">
        <v>2029.915</v>
      </c>
      <c r="E185">
        <v>58.637322650077401</v>
      </c>
      <c r="F185">
        <v>13.648375515265901</v>
      </c>
      <c r="G185">
        <v>0</v>
      </c>
      <c r="H185">
        <v>0</v>
      </c>
      <c r="I185" s="72">
        <f t="shared" si="5"/>
        <v>72.285698165343305</v>
      </c>
    </row>
    <row r="186" spans="1:9" x14ac:dyDescent="0.3">
      <c r="A186">
        <v>2029</v>
      </c>
      <c r="B186">
        <v>12</v>
      </c>
      <c r="C186">
        <v>31</v>
      </c>
      <c r="D186">
        <v>2030</v>
      </c>
      <c r="E186">
        <v>58.743892614607198</v>
      </c>
      <c r="F186">
        <v>13.6399928407013</v>
      </c>
      <c r="G186">
        <v>0</v>
      </c>
      <c r="H186">
        <v>0</v>
      </c>
      <c r="I186" s="72">
        <f t="shared" si="5"/>
        <v>72.383885455308501</v>
      </c>
    </row>
    <row r="187" spans="1:9" x14ac:dyDescent="0.3">
      <c r="A187">
        <v>2030</v>
      </c>
      <c r="B187">
        <v>1</v>
      </c>
      <c r="C187">
        <v>31</v>
      </c>
      <c r="D187">
        <v>2030.085</v>
      </c>
      <c r="E187">
        <v>58.850042510603799</v>
      </c>
      <c r="F187">
        <v>13.6320957881401</v>
      </c>
      <c r="G187">
        <v>0</v>
      </c>
      <c r="H187">
        <v>0</v>
      </c>
      <c r="I187" s="72">
        <f t="shared" si="5"/>
        <v>72.482138298743905</v>
      </c>
    </row>
    <row r="188" spans="1:9" x14ac:dyDescent="0.3">
      <c r="A188">
        <v>2030</v>
      </c>
      <c r="B188">
        <v>2</v>
      </c>
      <c r="C188">
        <v>28</v>
      </c>
      <c r="D188">
        <v>2030.162</v>
      </c>
      <c r="E188">
        <v>58.945560687521201</v>
      </c>
      <c r="F188">
        <v>13.6283343385349</v>
      </c>
      <c r="G188">
        <v>0</v>
      </c>
      <c r="H188">
        <v>0</v>
      </c>
      <c r="I188" s="72">
        <f t="shared" si="5"/>
        <v>72.573895026056107</v>
      </c>
    </row>
    <row r="189" spans="1:9" x14ac:dyDescent="0.3">
      <c r="A189">
        <v>2030</v>
      </c>
      <c r="B189">
        <v>3</v>
      </c>
      <c r="C189">
        <v>31</v>
      </c>
      <c r="D189">
        <v>2030.2470000000001</v>
      </c>
      <c r="E189">
        <v>59.050917427062103</v>
      </c>
      <c r="F189">
        <v>13.637512135647199</v>
      </c>
      <c r="G189">
        <v>0</v>
      </c>
      <c r="H189">
        <v>0</v>
      </c>
      <c r="I189" s="72">
        <f t="shared" si="5"/>
        <v>72.688429562709302</v>
      </c>
    </row>
    <row r="190" spans="1:9" x14ac:dyDescent="0.3">
      <c r="A190">
        <v>2030</v>
      </c>
      <c r="B190">
        <v>4</v>
      </c>
      <c r="C190">
        <v>30</v>
      </c>
      <c r="D190">
        <v>2030.329</v>
      </c>
      <c r="E190">
        <v>59.152481884119297</v>
      </c>
      <c r="F190">
        <v>13.662616079092</v>
      </c>
      <c r="G190">
        <v>0</v>
      </c>
      <c r="H190">
        <v>0</v>
      </c>
      <c r="I190" s="72">
        <f t="shared" si="5"/>
        <v>72.815097963211301</v>
      </c>
    </row>
    <row r="191" spans="1:9" x14ac:dyDescent="0.3">
      <c r="A191">
        <v>2030</v>
      </c>
      <c r="B191">
        <v>5</v>
      </c>
      <c r="C191">
        <v>31</v>
      </c>
      <c r="D191">
        <v>2030.414</v>
      </c>
      <c r="E191">
        <v>59.257027215869797</v>
      </c>
      <c r="F191">
        <v>13.694404066342001</v>
      </c>
      <c r="G191">
        <v>0</v>
      </c>
      <c r="H191">
        <v>0</v>
      </c>
      <c r="I191" s="72">
        <f t="shared" si="5"/>
        <v>72.9514312822118</v>
      </c>
    </row>
    <row r="192" spans="1:9" x14ac:dyDescent="0.3">
      <c r="A192">
        <v>2030</v>
      </c>
      <c r="B192">
        <v>6</v>
      </c>
      <c r="C192">
        <v>30</v>
      </c>
      <c r="D192">
        <v>2030.4960000000001</v>
      </c>
      <c r="E192">
        <v>59.357810648690403</v>
      </c>
      <c r="F192">
        <v>13.773443391787501</v>
      </c>
      <c r="G192">
        <v>0</v>
      </c>
      <c r="H192">
        <v>0</v>
      </c>
      <c r="I192" s="106">
        <f t="shared" si="5"/>
        <v>73.131254040477899</v>
      </c>
    </row>
    <row r="193" spans="1:9" x14ac:dyDescent="0.3">
      <c r="A193">
        <v>2030</v>
      </c>
      <c r="B193">
        <v>7</v>
      </c>
      <c r="C193">
        <v>31</v>
      </c>
      <c r="D193">
        <v>2030.5809999999999</v>
      </c>
      <c r="E193">
        <v>59.461553244267797</v>
      </c>
      <c r="F193">
        <v>13.869689306788</v>
      </c>
      <c r="G193">
        <v>0</v>
      </c>
      <c r="H193">
        <v>0</v>
      </c>
      <c r="I193" s="72">
        <f t="shared" si="5"/>
        <v>73.331242551055794</v>
      </c>
    </row>
    <row r="194" spans="1:9" x14ac:dyDescent="0.3">
      <c r="A194">
        <v>2030</v>
      </c>
      <c r="B194">
        <v>8</v>
      </c>
      <c r="C194">
        <v>31</v>
      </c>
      <c r="D194">
        <v>2030.6659999999999</v>
      </c>
      <c r="E194">
        <v>59.564891180642803</v>
      </c>
      <c r="F194">
        <v>13.984876597604501</v>
      </c>
      <c r="G194">
        <v>0</v>
      </c>
      <c r="H194">
        <v>0</v>
      </c>
      <c r="I194" s="72">
        <f t="shared" si="5"/>
        <v>73.5497677782473</v>
      </c>
    </row>
    <row r="195" spans="1:9" x14ac:dyDescent="0.3">
      <c r="A195">
        <v>2030</v>
      </c>
      <c r="B195">
        <v>9</v>
      </c>
      <c r="C195">
        <v>30</v>
      </c>
      <c r="D195">
        <v>2030.748</v>
      </c>
      <c r="E195">
        <v>59.6645124158809</v>
      </c>
      <c r="F195">
        <v>14.0741134803511</v>
      </c>
      <c r="G195">
        <v>0</v>
      </c>
      <c r="H195">
        <v>0</v>
      </c>
      <c r="I195" s="72">
        <f t="shared" si="5"/>
        <v>73.738625896231994</v>
      </c>
    </row>
    <row r="196" spans="1:9" x14ac:dyDescent="0.3">
      <c r="A196">
        <v>2030</v>
      </c>
      <c r="B196">
        <v>10</v>
      </c>
      <c r="C196">
        <v>31</v>
      </c>
      <c r="D196">
        <v>2030.8330000000001</v>
      </c>
      <c r="E196">
        <v>59.767060491358698</v>
      </c>
      <c r="F196">
        <v>14.0827550372532</v>
      </c>
      <c r="G196">
        <v>0</v>
      </c>
      <c r="H196">
        <v>0</v>
      </c>
      <c r="I196" s="72">
        <f t="shared" si="5"/>
        <v>73.849815528611899</v>
      </c>
    </row>
    <row r="197" spans="1:9" x14ac:dyDescent="0.3">
      <c r="A197">
        <v>2030</v>
      </c>
      <c r="B197">
        <v>11</v>
      </c>
      <c r="C197">
        <v>30</v>
      </c>
      <c r="D197">
        <v>2030.915</v>
      </c>
      <c r="E197">
        <v>59.865881566188399</v>
      </c>
      <c r="F197">
        <v>14.074713026802399</v>
      </c>
      <c r="G197">
        <v>0</v>
      </c>
      <c r="H197">
        <v>0</v>
      </c>
      <c r="I197" s="72">
        <f t="shared" si="5"/>
        <v>73.940594592990806</v>
      </c>
    </row>
    <row r="198" spans="1:9" x14ac:dyDescent="0.3">
      <c r="A198">
        <v>2030</v>
      </c>
      <c r="B198">
        <v>12</v>
      </c>
      <c r="C198">
        <v>31</v>
      </c>
      <c r="D198">
        <v>2031</v>
      </c>
      <c r="E198">
        <v>59.967604218850603</v>
      </c>
      <c r="F198">
        <v>14.0614630581517</v>
      </c>
      <c r="G198">
        <v>0</v>
      </c>
      <c r="H198">
        <v>0</v>
      </c>
      <c r="I198" s="72">
        <f t="shared" si="5"/>
        <v>74.029067277002298</v>
      </c>
    </row>
    <row r="199" spans="1:9" x14ac:dyDescent="0.3">
      <c r="A199">
        <v>2031</v>
      </c>
      <c r="B199">
        <v>1</v>
      </c>
      <c r="C199">
        <v>31</v>
      </c>
      <c r="D199">
        <v>2031.085</v>
      </c>
      <c r="E199">
        <v>60.068933094835003</v>
      </c>
      <c r="F199">
        <v>14.048787579973</v>
      </c>
      <c r="G199">
        <v>0</v>
      </c>
      <c r="H199">
        <v>0</v>
      </c>
      <c r="I199" s="72">
        <f t="shared" si="5"/>
        <v>74.117720674807998</v>
      </c>
    </row>
    <row r="200" spans="1:9" x14ac:dyDescent="0.3">
      <c r="A200">
        <v>2031</v>
      </c>
      <c r="B200">
        <v>2</v>
      </c>
      <c r="C200">
        <v>28</v>
      </c>
      <c r="D200">
        <v>2031.162</v>
      </c>
      <c r="E200">
        <v>60.160119262126003</v>
      </c>
      <c r="F200">
        <v>14.040852665311499</v>
      </c>
      <c r="G200">
        <v>0</v>
      </c>
      <c r="H200">
        <v>0</v>
      </c>
      <c r="I200" s="72">
        <f t="shared" ref="I200:I263" si="6">F200+E200</f>
        <v>74.200971927437507</v>
      </c>
    </row>
    <row r="201" spans="1:9" x14ac:dyDescent="0.3">
      <c r="A201">
        <v>2031</v>
      </c>
      <c r="B201">
        <v>3</v>
      </c>
      <c r="C201">
        <v>31</v>
      </c>
      <c r="D201">
        <v>2031.2470000000001</v>
      </c>
      <c r="E201">
        <v>60.260704562319802</v>
      </c>
      <c r="F201">
        <v>14.045796235604</v>
      </c>
      <c r="G201">
        <v>0</v>
      </c>
      <c r="H201">
        <v>0</v>
      </c>
      <c r="I201" s="72">
        <f t="shared" si="6"/>
        <v>74.306500797923803</v>
      </c>
    </row>
    <row r="202" spans="1:9" x14ac:dyDescent="0.3">
      <c r="A202">
        <v>2031</v>
      </c>
      <c r="B202">
        <v>4</v>
      </c>
      <c r="C202">
        <v>30</v>
      </c>
      <c r="D202">
        <v>2031.329</v>
      </c>
      <c r="E202">
        <v>60.357676075217</v>
      </c>
      <c r="F202">
        <v>14.067263466683499</v>
      </c>
      <c r="G202">
        <v>0</v>
      </c>
      <c r="H202">
        <v>0</v>
      </c>
      <c r="I202" s="72">
        <f t="shared" si="6"/>
        <v>74.4249395419005</v>
      </c>
    </row>
    <row r="203" spans="1:9" x14ac:dyDescent="0.3">
      <c r="A203">
        <v>2031</v>
      </c>
      <c r="B203">
        <v>5</v>
      </c>
      <c r="C203">
        <v>31</v>
      </c>
      <c r="D203">
        <v>2031.414</v>
      </c>
      <c r="E203">
        <v>60.457500602494001</v>
      </c>
      <c r="F203">
        <v>14.0954547589221</v>
      </c>
      <c r="G203">
        <v>0</v>
      </c>
      <c r="H203">
        <v>0</v>
      </c>
      <c r="I203" s="72">
        <f t="shared" si="6"/>
        <v>74.552955361416096</v>
      </c>
    </row>
    <row r="204" spans="1:9" x14ac:dyDescent="0.3">
      <c r="A204">
        <v>2031</v>
      </c>
      <c r="B204">
        <v>6</v>
      </c>
      <c r="C204">
        <v>30</v>
      </c>
      <c r="D204">
        <v>2031.4960000000001</v>
      </c>
      <c r="E204">
        <v>60.553739787008801</v>
      </c>
      <c r="F204">
        <v>14.172211461798501</v>
      </c>
      <c r="G204">
        <v>0</v>
      </c>
      <c r="H204">
        <v>0</v>
      </c>
      <c r="I204" s="106">
        <f t="shared" si="6"/>
        <v>74.725951248807306</v>
      </c>
    </row>
    <row r="205" spans="1:9" x14ac:dyDescent="0.3">
      <c r="A205">
        <v>2031</v>
      </c>
      <c r="B205">
        <v>7</v>
      </c>
      <c r="C205">
        <v>31</v>
      </c>
      <c r="D205">
        <v>2031.5809999999999</v>
      </c>
      <c r="E205">
        <v>60.652811583141897</v>
      </c>
      <c r="F205">
        <v>14.266465539377</v>
      </c>
      <c r="G205">
        <v>0</v>
      </c>
      <c r="H205">
        <v>0</v>
      </c>
      <c r="I205" s="72">
        <f t="shared" si="6"/>
        <v>74.919277122518892</v>
      </c>
    </row>
    <row r="206" spans="1:9" x14ac:dyDescent="0.3">
      <c r="A206">
        <v>2031</v>
      </c>
      <c r="B206">
        <v>8</v>
      </c>
      <c r="C206">
        <v>31</v>
      </c>
      <c r="D206">
        <v>2031.6659999999999</v>
      </c>
      <c r="E206">
        <v>60.751503893390101</v>
      </c>
      <c r="F206">
        <v>14.3801633388816</v>
      </c>
      <c r="G206">
        <v>0</v>
      </c>
      <c r="H206">
        <v>0</v>
      </c>
      <c r="I206" s="72">
        <f t="shared" si="6"/>
        <v>75.131667232271695</v>
      </c>
    </row>
    <row r="207" spans="1:9" x14ac:dyDescent="0.3">
      <c r="A207">
        <v>2031</v>
      </c>
      <c r="B207">
        <v>9</v>
      </c>
      <c r="C207">
        <v>30</v>
      </c>
      <c r="D207">
        <v>2031.748</v>
      </c>
      <c r="E207">
        <v>60.846653179174602</v>
      </c>
      <c r="F207">
        <v>14.4675575578504</v>
      </c>
      <c r="G207">
        <v>0</v>
      </c>
      <c r="H207">
        <v>0</v>
      </c>
      <c r="I207" s="72">
        <f t="shared" si="6"/>
        <v>75.314210737025007</v>
      </c>
    </row>
    <row r="208" spans="1:9" x14ac:dyDescent="0.3">
      <c r="A208">
        <v>2031</v>
      </c>
      <c r="B208">
        <v>10</v>
      </c>
      <c r="C208">
        <v>31</v>
      </c>
      <c r="D208">
        <v>2031.8330000000001</v>
      </c>
      <c r="E208">
        <v>60.944604697214601</v>
      </c>
      <c r="F208">
        <v>14.4724310395406</v>
      </c>
      <c r="G208">
        <v>0</v>
      </c>
      <c r="H208">
        <v>0</v>
      </c>
      <c r="I208" s="72">
        <f t="shared" si="6"/>
        <v>75.417035736755196</v>
      </c>
    </row>
    <row r="209" spans="1:9" x14ac:dyDescent="0.3">
      <c r="A209">
        <v>2031</v>
      </c>
      <c r="B209">
        <v>11</v>
      </c>
      <c r="C209">
        <v>30</v>
      </c>
      <c r="D209">
        <v>2031.915</v>
      </c>
      <c r="E209">
        <v>61.039006576885797</v>
      </c>
      <c r="F209">
        <v>14.4604329073395</v>
      </c>
      <c r="G209">
        <v>0</v>
      </c>
      <c r="H209">
        <v>0</v>
      </c>
      <c r="I209" s="72">
        <f t="shared" si="6"/>
        <v>75.499439484225292</v>
      </c>
    </row>
    <row r="210" spans="1:9" x14ac:dyDescent="0.3">
      <c r="A210">
        <v>2031</v>
      </c>
      <c r="B210">
        <v>12</v>
      </c>
      <c r="C210">
        <v>31</v>
      </c>
      <c r="D210">
        <v>2032</v>
      </c>
      <c r="E210">
        <v>61.136185861892699</v>
      </c>
      <c r="F210">
        <v>14.4430445563055</v>
      </c>
      <c r="G210">
        <v>0</v>
      </c>
      <c r="H210">
        <v>0</v>
      </c>
      <c r="I210" s="72">
        <f t="shared" si="6"/>
        <v>75.579230418198193</v>
      </c>
    </row>
    <row r="211" spans="1:9" x14ac:dyDescent="0.3">
      <c r="A211">
        <v>2032</v>
      </c>
      <c r="B211">
        <v>1</v>
      </c>
      <c r="C211">
        <v>31</v>
      </c>
      <c r="D211">
        <v>2032.085</v>
      </c>
      <c r="E211">
        <v>61.232995742623103</v>
      </c>
      <c r="F211">
        <v>14.426301463050899</v>
      </c>
      <c r="G211">
        <v>0</v>
      </c>
      <c r="H211">
        <v>0</v>
      </c>
      <c r="I211" s="72">
        <f t="shared" si="6"/>
        <v>75.659297205674008</v>
      </c>
    </row>
    <row r="212" spans="1:9" x14ac:dyDescent="0.3">
      <c r="A212">
        <v>2032</v>
      </c>
      <c r="B212">
        <v>2</v>
      </c>
      <c r="C212">
        <v>29</v>
      </c>
      <c r="D212">
        <v>2032.164</v>
      </c>
      <c r="E212">
        <v>61.323227148922001</v>
      </c>
      <c r="F212">
        <v>14.4147753729934</v>
      </c>
      <c r="G212">
        <v>0</v>
      </c>
      <c r="H212">
        <v>0</v>
      </c>
      <c r="I212" s="72">
        <f t="shared" si="6"/>
        <v>75.738002521915405</v>
      </c>
    </row>
    <row r="213" spans="1:9" x14ac:dyDescent="0.3">
      <c r="A213">
        <v>2032</v>
      </c>
      <c r="B213">
        <v>3</v>
      </c>
      <c r="C213">
        <v>31</v>
      </c>
      <c r="D213">
        <v>2032.249</v>
      </c>
      <c r="E213">
        <v>61.419327649454402</v>
      </c>
      <c r="F213">
        <v>14.4167783809303</v>
      </c>
      <c r="G213">
        <v>0</v>
      </c>
      <c r="H213">
        <v>0</v>
      </c>
      <c r="I213" s="72">
        <f t="shared" si="6"/>
        <v>75.836106030384698</v>
      </c>
    </row>
    <row r="214" spans="1:9" x14ac:dyDescent="0.3">
      <c r="A214">
        <v>2032</v>
      </c>
      <c r="B214">
        <v>4</v>
      </c>
      <c r="C214">
        <v>30</v>
      </c>
      <c r="D214">
        <v>2032.3309999999999</v>
      </c>
      <c r="E214">
        <v>61.511981874452403</v>
      </c>
      <c r="F214">
        <v>14.4351301649153</v>
      </c>
      <c r="G214">
        <v>0</v>
      </c>
      <c r="H214">
        <v>0</v>
      </c>
      <c r="I214" s="72">
        <f t="shared" si="6"/>
        <v>75.94711203936771</v>
      </c>
    </row>
    <row r="215" spans="1:9" x14ac:dyDescent="0.3">
      <c r="A215">
        <v>2032</v>
      </c>
      <c r="B215">
        <v>5</v>
      </c>
      <c r="C215">
        <v>31</v>
      </c>
      <c r="D215">
        <v>2032.415</v>
      </c>
      <c r="E215">
        <v>61.607368657708001</v>
      </c>
      <c r="F215">
        <v>14.462194170090999</v>
      </c>
      <c r="G215">
        <v>0</v>
      </c>
      <c r="H215">
        <v>0</v>
      </c>
      <c r="I215" s="72">
        <f t="shared" si="6"/>
        <v>76.069562827799004</v>
      </c>
    </row>
    <row r="216" spans="1:9" x14ac:dyDescent="0.3">
      <c r="A216">
        <v>2032</v>
      </c>
      <c r="B216">
        <v>6</v>
      </c>
      <c r="C216">
        <v>30</v>
      </c>
      <c r="D216">
        <v>2032.4970000000001</v>
      </c>
      <c r="E216">
        <v>61.699335806677297</v>
      </c>
      <c r="F216">
        <v>14.5375006641524</v>
      </c>
      <c r="G216">
        <v>0</v>
      </c>
      <c r="H216">
        <v>0</v>
      </c>
      <c r="I216" s="106">
        <f t="shared" si="6"/>
        <v>76.236836470829701</v>
      </c>
    </row>
    <row r="217" spans="1:9" x14ac:dyDescent="0.3">
      <c r="A217">
        <v>2032</v>
      </c>
      <c r="B217">
        <v>7</v>
      </c>
      <c r="C217">
        <v>31</v>
      </c>
      <c r="D217">
        <v>2032.5820000000001</v>
      </c>
      <c r="E217">
        <v>61.794016326480502</v>
      </c>
      <c r="F217">
        <v>14.6309774245535</v>
      </c>
      <c r="G217">
        <v>0</v>
      </c>
      <c r="H217">
        <v>0</v>
      </c>
      <c r="I217" s="72">
        <f t="shared" si="6"/>
        <v>76.424993751034009</v>
      </c>
    </row>
    <row r="218" spans="1:9" x14ac:dyDescent="0.3">
      <c r="A218">
        <v>2032</v>
      </c>
      <c r="B218">
        <v>8</v>
      </c>
      <c r="C218">
        <v>31</v>
      </c>
      <c r="D218">
        <v>2032.6669999999999</v>
      </c>
      <c r="E218">
        <v>61.888340752099701</v>
      </c>
      <c r="F218">
        <v>14.743122151673999</v>
      </c>
      <c r="G218">
        <v>0</v>
      </c>
      <c r="H218">
        <v>0</v>
      </c>
      <c r="I218" s="72">
        <f t="shared" si="6"/>
        <v>76.631462903773695</v>
      </c>
    </row>
    <row r="219" spans="1:9" x14ac:dyDescent="0.3">
      <c r="A219">
        <v>2032</v>
      </c>
      <c r="B219">
        <v>9</v>
      </c>
      <c r="C219">
        <v>30</v>
      </c>
      <c r="D219">
        <v>2032.749</v>
      </c>
      <c r="E219">
        <v>61.9792851843657</v>
      </c>
      <c r="F219">
        <v>14.8258116965412</v>
      </c>
      <c r="G219">
        <v>0</v>
      </c>
      <c r="H219">
        <v>0</v>
      </c>
      <c r="I219" s="72">
        <f t="shared" si="6"/>
        <v>76.805096880906902</v>
      </c>
    </row>
    <row r="220" spans="1:9" x14ac:dyDescent="0.3">
      <c r="A220">
        <v>2032</v>
      </c>
      <c r="B220">
        <v>10</v>
      </c>
      <c r="C220">
        <v>31</v>
      </c>
      <c r="D220">
        <v>2032.8330000000001</v>
      </c>
      <c r="E220">
        <v>62.072914412243001</v>
      </c>
      <c r="F220">
        <v>14.826816902705801</v>
      </c>
      <c r="G220">
        <v>0</v>
      </c>
      <c r="H220">
        <v>0</v>
      </c>
      <c r="I220" s="72">
        <f t="shared" si="6"/>
        <v>76.899731314948809</v>
      </c>
    </row>
    <row r="221" spans="1:9" x14ac:dyDescent="0.3">
      <c r="A221">
        <v>2032</v>
      </c>
      <c r="B221">
        <v>11</v>
      </c>
      <c r="C221">
        <v>30</v>
      </c>
      <c r="D221">
        <v>2032.915</v>
      </c>
      <c r="E221">
        <v>62.163157749925297</v>
      </c>
      <c r="F221">
        <v>14.811217999068299</v>
      </c>
      <c r="G221">
        <v>0</v>
      </c>
      <c r="H221">
        <v>0</v>
      </c>
      <c r="I221" s="72">
        <f t="shared" si="6"/>
        <v>76.974375748993594</v>
      </c>
    </row>
    <row r="222" spans="1:9" x14ac:dyDescent="0.3">
      <c r="A222">
        <v>2032</v>
      </c>
      <c r="B222">
        <v>12</v>
      </c>
      <c r="C222">
        <v>31</v>
      </c>
      <c r="D222">
        <v>2033</v>
      </c>
      <c r="E222">
        <v>62.256063889087798</v>
      </c>
      <c r="F222">
        <v>14.7902629283829</v>
      </c>
      <c r="G222">
        <v>0</v>
      </c>
      <c r="H222">
        <v>0</v>
      </c>
      <c r="I222" s="72">
        <f t="shared" si="6"/>
        <v>77.0463268174707</v>
      </c>
    </row>
    <row r="223" spans="1:9" x14ac:dyDescent="0.3">
      <c r="A223">
        <v>2033</v>
      </c>
      <c r="B223">
        <v>1</v>
      </c>
      <c r="C223">
        <v>31</v>
      </c>
      <c r="D223">
        <v>2033.085</v>
      </c>
      <c r="E223">
        <v>62.348623270949403</v>
      </c>
      <c r="F223">
        <v>14.7701126364566</v>
      </c>
      <c r="G223">
        <v>0</v>
      </c>
      <c r="H223">
        <v>0</v>
      </c>
      <c r="I223" s="72">
        <f t="shared" si="6"/>
        <v>77.118735907406005</v>
      </c>
    </row>
    <row r="224" spans="1:9" x14ac:dyDescent="0.3">
      <c r="A224">
        <v>2033</v>
      </c>
      <c r="B224">
        <v>2</v>
      </c>
      <c r="C224">
        <v>28</v>
      </c>
      <c r="D224">
        <v>2033.162</v>
      </c>
      <c r="E224">
        <v>62.431928769874297</v>
      </c>
      <c r="F224">
        <v>14.7559908406584</v>
      </c>
      <c r="G224">
        <v>0</v>
      </c>
      <c r="H224">
        <v>0</v>
      </c>
      <c r="I224" s="72">
        <f t="shared" si="6"/>
        <v>77.187919610532703</v>
      </c>
    </row>
    <row r="225" spans="1:9" x14ac:dyDescent="0.3">
      <c r="A225">
        <v>2033</v>
      </c>
      <c r="B225">
        <v>3</v>
      </c>
      <c r="C225">
        <v>31</v>
      </c>
      <c r="D225">
        <v>2033.2470000000001</v>
      </c>
      <c r="E225">
        <v>62.523833238669702</v>
      </c>
      <c r="F225">
        <v>14.7549072417007</v>
      </c>
      <c r="G225">
        <v>0</v>
      </c>
      <c r="H225">
        <v>0</v>
      </c>
      <c r="I225" s="72">
        <f t="shared" si="6"/>
        <v>77.278740480370402</v>
      </c>
    </row>
    <row r="226" spans="1:9" x14ac:dyDescent="0.3">
      <c r="A226">
        <v>2033</v>
      </c>
      <c r="B226">
        <v>4</v>
      </c>
      <c r="C226">
        <v>30</v>
      </c>
      <c r="D226">
        <v>2033.329</v>
      </c>
      <c r="E226">
        <v>62.612447895842003</v>
      </c>
      <c r="F226">
        <v>14.770621586778899</v>
      </c>
      <c r="G226">
        <v>0</v>
      </c>
      <c r="H226">
        <v>0</v>
      </c>
      <c r="I226" s="72">
        <f t="shared" si="6"/>
        <v>77.383069482620897</v>
      </c>
    </row>
    <row r="227" spans="1:9" x14ac:dyDescent="0.3">
      <c r="A227">
        <v>2033</v>
      </c>
      <c r="B227">
        <v>5</v>
      </c>
      <c r="C227">
        <v>31</v>
      </c>
      <c r="D227">
        <v>2033.414</v>
      </c>
      <c r="E227">
        <v>62.703682133122598</v>
      </c>
      <c r="F227">
        <v>14.7951151315432</v>
      </c>
      <c r="G227">
        <v>0</v>
      </c>
      <c r="H227">
        <v>0</v>
      </c>
      <c r="I227" s="72">
        <f t="shared" si="6"/>
        <v>77.498797264665797</v>
      </c>
    </row>
    <row r="228" spans="1:9" x14ac:dyDescent="0.3">
      <c r="A228">
        <v>2033</v>
      </c>
      <c r="B228">
        <v>6</v>
      </c>
      <c r="C228">
        <v>30</v>
      </c>
      <c r="D228">
        <v>2033.4960000000001</v>
      </c>
      <c r="E228">
        <v>62.7916515333389</v>
      </c>
      <c r="F228">
        <v>14.8688734379972</v>
      </c>
      <c r="G228">
        <v>0</v>
      </c>
      <c r="H228">
        <v>0</v>
      </c>
      <c r="I228" s="106">
        <f t="shared" si="6"/>
        <v>77.660524971336102</v>
      </c>
    </row>
    <row r="229" spans="1:9" x14ac:dyDescent="0.3">
      <c r="A229">
        <v>2033</v>
      </c>
      <c r="B229">
        <v>7</v>
      </c>
      <c r="C229">
        <v>31</v>
      </c>
      <c r="D229">
        <v>2033.5809999999999</v>
      </c>
      <c r="E229">
        <v>62.882222449231399</v>
      </c>
      <c r="F229">
        <v>14.9610471408342</v>
      </c>
      <c r="G229">
        <v>0</v>
      </c>
      <c r="H229">
        <v>0</v>
      </c>
      <c r="I229" s="72">
        <f t="shared" si="6"/>
        <v>77.843269590065603</v>
      </c>
    </row>
    <row r="230" spans="1:9" x14ac:dyDescent="0.3">
      <c r="A230">
        <v>2033</v>
      </c>
      <c r="B230">
        <v>8</v>
      </c>
      <c r="C230">
        <v>31</v>
      </c>
      <c r="D230">
        <v>2033.6659999999999</v>
      </c>
      <c r="E230">
        <v>62.972458887810603</v>
      </c>
      <c r="F230">
        <v>15.072269434134199</v>
      </c>
      <c r="G230">
        <v>0</v>
      </c>
      <c r="H230">
        <v>0</v>
      </c>
      <c r="I230" s="72">
        <f t="shared" si="6"/>
        <v>78.044728321944802</v>
      </c>
    </row>
    <row r="231" spans="1:9" x14ac:dyDescent="0.3">
      <c r="A231">
        <v>2033</v>
      </c>
      <c r="B231">
        <v>9</v>
      </c>
      <c r="C231">
        <v>30</v>
      </c>
      <c r="D231">
        <v>2033.748</v>
      </c>
      <c r="E231">
        <v>63.059467655992599</v>
      </c>
      <c r="F231">
        <v>15.153679420128</v>
      </c>
      <c r="G231">
        <v>0</v>
      </c>
      <c r="H231">
        <v>0</v>
      </c>
      <c r="I231" s="72">
        <f t="shared" si="6"/>
        <v>78.213147076120606</v>
      </c>
    </row>
    <row r="232" spans="1:9" x14ac:dyDescent="0.3">
      <c r="A232">
        <v>2033</v>
      </c>
      <c r="B232">
        <v>10</v>
      </c>
      <c r="C232">
        <v>31</v>
      </c>
      <c r="D232">
        <v>2033.8330000000001</v>
      </c>
      <c r="E232">
        <v>63.149051031945902</v>
      </c>
      <c r="F232">
        <v>15.1518733704974</v>
      </c>
      <c r="G232">
        <v>0</v>
      </c>
      <c r="H232">
        <v>0</v>
      </c>
      <c r="I232" s="72">
        <f t="shared" si="6"/>
        <v>78.3009244024433</v>
      </c>
    </row>
    <row r="233" spans="1:9" x14ac:dyDescent="0.3">
      <c r="A233">
        <v>2033</v>
      </c>
      <c r="B233">
        <v>11</v>
      </c>
      <c r="C233">
        <v>30</v>
      </c>
      <c r="D233">
        <v>2033.915</v>
      </c>
      <c r="E233">
        <v>63.2354024833758</v>
      </c>
      <c r="F233">
        <v>15.133297559794901</v>
      </c>
      <c r="G233">
        <v>0</v>
      </c>
      <c r="H233">
        <v>0</v>
      </c>
      <c r="I233" s="72">
        <f t="shared" si="6"/>
        <v>78.368700043170705</v>
      </c>
    </row>
    <row r="234" spans="1:9" x14ac:dyDescent="0.3">
      <c r="A234">
        <v>2033</v>
      </c>
      <c r="B234">
        <v>12</v>
      </c>
      <c r="C234">
        <v>31</v>
      </c>
      <c r="D234">
        <v>2034</v>
      </c>
      <c r="E234">
        <v>63.324307970903902</v>
      </c>
      <c r="F234">
        <v>15.109218445426601</v>
      </c>
      <c r="G234">
        <v>0</v>
      </c>
      <c r="H234">
        <v>0</v>
      </c>
      <c r="I234" s="72">
        <f t="shared" si="6"/>
        <v>78.433526416330508</v>
      </c>
    </row>
    <row r="235" spans="1:9" x14ac:dyDescent="0.3">
      <c r="A235">
        <v>2034</v>
      </c>
      <c r="B235">
        <v>1</v>
      </c>
      <c r="C235">
        <v>31</v>
      </c>
      <c r="D235">
        <v>2034.085</v>
      </c>
      <c r="E235">
        <v>63.412887631405503</v>
      </c>
      <c r="F235">
        <v>15.0859940568927</v>
      </c>
      <c r="G235">
        <v>0</v>
      </c>
      <c r="H235">
        <v>0</v>
      </c>
      <c r="I235" s="72">
        <f t="shared" si="6"/>
        <v>78.498881688298198</v>
      </c>
    </row>
    <row r="236" spans="1:9" x14ac:dyDescent="0.3">
      <c r="A236">
        <v>2034</v>
      </c>
      <c r="B236">
        <v>2</v>
      </c>
      <c r="C236">
        <v>28</v>
      </c>
      <c r="D236">
        <v>2034.162</v>
      </c>
      <c r="E236">
        <v>63.492616422470199</v>
      </c>
      <c r="F236">
        <v>15.0691921019736</v>
      </c>
      <c r="G236">
        <v>0</v>
      </c>
      <c r="H236">
        <v>0</v>
      </c>
      <c r="I236" s="72">
        <f t="shared" si="6"/>
        <v>78.561808524443805</v>
      </c>
    </row>
    <row r="237" spans="1:9" x14ac:dyDescent="0.3">
      <c r="A237">
        <v>2034</v>
      </c>
      <c r="B237">
        <v>3</v>
      </c>
      <c r="C237">
        <v>31</v>
      </c>
      <c r="D237">
        <v>2034.2470000000001</v>
      </c>
      <c r="E237">
        <v>63.580580637579601</v>
      </c>
      <c r="F237">
        <v>15.065414431440599</v>
      </c>
      <c r="G237">
        <v>0</v>
      </c>
      <c r="H237">
        <v>0</v>
      </c>
      <c r="I237" s="72">
        <f t="shared" si="6"/>
        <v>78.645995069020202</v>
      </c>
    </row>
    <row r="238" spans="1:9" x14ac:dyDescent="0.3">
      <c r="A238">
        <v>2034</v>
      </c>
      <c r="B238">
        <v>4</v>
      </c>
      <c r="C238">
        <v>30</v>
      </c>
      <c r="D238">
        <v>2034.329</v>
      </c>
      <c r="E238">
        <v>63.665401709789101</v>
      </c>
      <c r="F238">
        <v>15.0788370461041</v>
      </c>
      <c r="G238">
        <v>0</v>
      </c>
      <c r="H238">
        <v>0</v>
      </c>
      <c r="I238" s="72">
        <f t="shared" si="6"/>
        <v>78.744238755893207</v>
      </c>
    </row>
    <row r="239" spans="1:9" x14ac:dyDescent="0.3">
      <c r="A239">
        <v>2034</v>
      </c>
      <c r="B239">
        <v>5</v>
      </c>
      <c r="C239">
        <v>31</v>
      </c>
      <c r="D239">
        <v>2034.414</v>
      </c>
      <c r="E239">
        <v>63.752735997953998</v>
      </c>
      <c r="F239">
        <v>15.101100445408701</v>
      </c>
      <c r="G239">
        <v>0</v>
      </c>
      <c r="H239">
        <v>0</v>
      </c>
      <c r="I239" s="72">
        <f t="shared" si="6"/>
        <v>78.853836443362695</v>
      </c>
    </row>
    <row r="240" spans="1:9" x14ac:dyDescent="0.3">
      <c r="A240">
        <v>2034</v>
      </c>
      <c r="B240">
        <v>6</v>
      </c>
      <c r="C240">
        <v>30</v>
      </c>
      <c r="D240">
        <v>2034.4960000000001</v>
      </c>
      <c r="E240">
        <v>63.836950573550297</v>
      </c>
      <c r="F240">
        <v>15.1735560929227</v>
      </c>
      <c r="G240">
        <v>0</v>
      </c>
      <c r="H240">
        <v>0</v>
      </c>
      <c r="I240" s="106">
        <f t="shared" si="6"/>
        <v>79.010506666472992</v>
      </c>
    </row>
    <row r="241" spans="1:9" x14ac:dyDescent="0.3">
      <c r="A241">
        <v>2034</v>
      </c>
      <c r="B241">
        <v>7</v>
      </c>
      <c r="C241">
        <v>31</v>
      </c>
      <c r="D241">
        <v>2034.5809999999999</v>
      </c>
      <c r="E241">
        <v>63.923661342128099</v>
      </c>
      <c r="F241">
        <v>15.264652209818699</v>
      </c>
      <c r="G241">
        <v>0</v>
      </c>
      <c r="H241">
        <v>0</v>
      </c>
      <c r="I241" s="72">
        <f t="shared" si="6"/>
        <v>79.188313551946806</v>
      </c>
    </row>
    <row r="242" spans="1:9" x14ac:dyDescent="0.3">
      <c r="A242">
        <v>2034</v>
      </c>
      <c r="B242">
        <v>8</v>
      </c>
      <c r="C242">
        <v>31</v>
      </c>
      <c r="D242">
        <v>2034.6659999999999</v>
      </c>
      <c r="E242">
        <v>64.010057669973307</v>
      </c>
      <c r="F242">
        <v>15.375142410436901</v>
      </c>
      <c r="G242">
        <v>0</v>
      </c>
      <c r="H242">
        <v>0</v>
      </c>
      <c r="I242" s="72">
        <f t="shared" si="6"/>
        <v>79.385200080410215</v>
      </c>
    </row>
    <row r="243" spans="1:9" x14ac:dyDescent="0.3">
      <c r="A243">
        <v>2034</v>
      </c>
      <c r="B243">
        <v>9</v>
      </c>
      <c r="C243">
        <v>30</v>
      </c>
      <c r="D243">
        <v>2034.748</v>
      </c>
      <c r="E243">
        <v>64.093369159557497</v>
      </c>
      <c r="F243">
        <v>15.455486527692999</v>
      </c>
      <c r="G243">
        <v>0</v>
      </c>
      <c r="H243">
        <v>0</v>
      </c>
      <c r="I243" s="72">
        <f t="shared" si="6"/>
        <v>79.548855687250494</v>
      </c>
    </row>
    <row r="244" spans="1:9" x14ac:dyDescent="0.3">
      <c r="A244">
        <v>2034</v>
      </c>
      <c r="B244">
        <v>10</v>
      </c>
      <c r="C244">
        <v>31</v>
      </c>
      <c r="D244">
        <v>2034.8330000000001</v>
      </c>
      <c r="E244">
        <v>64.179151480740103</v>
      </c>
      <c r="F244">
        <v>15.4512111146908</v>
      </c>
      <c r="G244">
        <v>0</v>
      </c>
      <c r="H244">
        <v>0</v>
      </c>
      <c r="I244" s="72">
        <f t="shared" si="6"/>
        <v>79.63036259543091</v>
      </c>
    </row>
    <row r="245" spans="1:9" x14ac:dyDescent="0.3">
      <c r="A245">
        <v>2034</v>
      </c>
      <c r="B245">
        <v>11</v>
      </c>
      <c r="C245">
        <v>30</v>
      </c>
      <c r="D245">
        <v>2034.915</v>
      </c>
      <c r="E245">
        <v>64.261846066356597</v>
      </c>
      <c r="F245">
        <v>15.430007318364201</v>
      </c>
      <c r="G245">
        <v>0</v>
      </c>
      <c r="H245">
        <v>0</v>
      </c>
      <c r="I245" s="72">
        <f t="shared" si="6"/>
        <v>79.691853384720801</v>
      </c>
    </row>
    <row r="246" spans="1:9" x14ac:dyDescent="0.3">
      <c r="A246">
        <v>2034</v>
      </c>
      <c r="B246">
        <v>12</v>
      </c>
      <c r="C246">
        <v>31</v>
      </c>
      <c r="D246">
        <v>2035</v>
      </c>
      <c r="E246">
        <v>64.346992214359901</v>
      </c>
      <c r="F246">
        <v>15.4031653948539</v>
      </c>
      <c r="G246">
        <v>0</v>
      </c>
      <c r="H246">
        <v>0</v>
      </c>
      <c r="I246" s="72">
        <f t="shared" si="6"/>
        <v>79.750157609213801</v>
      </c>
    </row>
    <row r="247" spans="1:9" x14ac:dyDescent="0.3">
      <c r="A247">
        <v>2035</v>
      </c>
      <c r="B247">
        <v>1</v>
      </c>
      <c r="C247">
        <v>31</v>
      </c>
      <c r="D247">
        <v>2035.085</v>
      </c>
      <c r="E247">
        <v>64.431831938550602</v>
      </c>
      <c r="F247">
        <v>15.3772207979658</v>
      </c>
      <c r="G247">
        <v>0</v>
      </c>
      <c r="H247">
        <v>0</v>
      </c>
      <c r="I247" s="72">
        <f t="shared" si="6"/>
        <v>79.809052736516406</v>
      </c>
    </row>
    <row r="248" spans="1:9" x14ac:dyDescent="0.3">
      <c r="A248">
        <v>2035</v>
      </c>
      <c r="B248">
        <v>2</v>
      </c>
      <c r="C248">
        <v>28</v>
      </c>
      <c r="D248">
        <v>2035.162</v>
      </c>
      <c r="E248">
        <v>64.508199297745904</v>
      </c>
      <c r="F248">
        <v>15.3580477538286</v>
      </c>
      <c r="G248">
        <v>0</v>
      </c>
      <c r="H248">
        <v>0</v>
      </c>
      <c r="I248" s="72">
        <f t="shared" si="6"/>
        <v>79.866247051574504</v>
      </c>
    </row>
    <row r="249" spans="1:9" x14ac:dyDescent="0.3">
      <c r="A249">
        <v>2035</v>
      </c>
      <c r="B249">
        <v>3</v>
      </c>
      <c r="C249">
        <v>31</v>
      </c>
      <c r="D249">
        <v>2035.2470000000001</v>
      </c>
      <c r="E249">
        <v>64.592460166025603</v>
      </c>
      <c r="F249">
        <v>15.351893185589599</v>
      </c>
      <c r="G249">
        <v>0</v>
      </c>
      <c r="H249">
        <v>0</v>
      </c>
      <c r="I249" s="72">
        <f t="shared" si="6"/>
        <v>79.944353351615206</v>
      </c>
    </row>
    <row r="250" spans="1:9" x14ac:dyDescent="0.3">
      <c r="A250">
        <v>2035</v>
      </c>
      <c r="B250">
        <v>4</v>
      </c>
      <c r="C250">
        <v>30</v>
      </c>
      <c r="D250">
        <v>2035.329</v>
      </c>
      <c r="E250">
        <v>64.673715491980502</v>
      </c>
      <c r="F250">
        <v>15.3633028153981</v>
      </c>
      <c r="G250">
        <v>0</v>
      </c>
      <c r="H250">
        <v>0</v>
      </c>
      <c r="I250" s="72">
        <f t="shared" si="6"/>
        <v>80.037018307378602</v>
      </c>
    </row>
    <row r="251" spans="1:9" x14ac:dyDescent="0.3">
      <c r="A251">
        <v>2035</v>
      </c>
      <c r="B251">
        <v>5</v>
      </c>
      <c r="C251">
        <v>31</v>
      </c>
      <c r="D251">
        <v>2035.414</v>
      </c>
      <c r="E251">
        <v>64.757383800631899</v>
      </c>
      <c r="F251">
        <v>15.383610418617</v>
      </c>
      <c r="G251">
        <v>0</v>
      </c>
      <c r="H251">
        <v>0</v>
      </c>
      <c r="I251" s="72">
        <f t="shared" si="6"/>
        <v>80.140994219248896</v>
      </c>
    </row>
    <row r="252" spans="1:9" x14ac:dyDescent="0.3">
      <c r="A252">
        <v>2035</v>
      </c>
      <c r="B252">
        <v>6</v>
      </c>
      <c r="C252">
        <v>30</v>
      </c>
      <c r="D252">
        <v>2035.4960000000001</v>
      </c>
      <c r="E252">
        <v>64.838068566620905</v>
      </c>
      <c r="F252">
        <v>15.454958452473701</v>
      </c>
      <c r="G252">
        <v>0</v>
      </c>
      <c r="H252">
        <v>0</v>
      </c>
      <c r="I252" s="106">
        <f t="shared" si="6"/>
        <v>80.293027019094609</v>
      </c>
    </row>
    <row r="253" spans="1:9" x14ac:dyDescent="0.3">
      <c r="A253">
        <v>2035</v>
      </c>
      <c r="B253">
        <v>7</v>
      </c>
      <c r="C253">
        <v>31</v>
      </c>
      <c r="D253">
        <v>2035.5809999999999</v>
      </c>
      <c r="E253">
        <v>64.921150259007703</v>
      </c>
      <c r="F253">
        <v>15.5451550582032</v>
      </c>
      <c r="G253">
        <v>0</v>
      </c>
      <c r="H253">
        <v>0</v>
      </c>
      <c r="I253" s="72">
        <f t="shared" si="6"/>
        <v>80.466305317210896</v>
      </c>
    </row>
    <row r="254" spans="1:9" x14ac:dyDescent="0.3">
      <c r="A254">
        <v>2035</v>
      </c>
      <c r="B254">
        <v>8</v>
      </c>
      <c r="C254">
        <v>31</v>
      </c>
      <c r="D254">
        <v>2035.6659999999999</v>
      </c>
      <c r="E254">
        <v>65.003936088983593</v>
      </c>
      <c r="F254">
        <v>15.6550618724422</v>
      </c>
      <c r="G254">
        <v>0</v>
      </c>
      <c r="H254">
        <v>0</v>
      </c>
      <c r="I254" s="72">
        <f t="shared" si="6"/>
        <v>80.658997961425797</v>
      </c>
    </row>
    <row r="255" spans="1:9" x14ac:dyDescent="0.3">
      <c r="A255">
        <v>2035</v>
      </c>
      <c r="B255">
        <v>9</v>
      </c>
      <c r="C255">
        <v>30</v>
      </c>
      <c r="D255">
        <v>2035.748</v>
      </c>
      <c r="E255">
        <v>65.083771126802901</v>
      </c>
      <c r="F255">
        <v>15.7345095814869</v>
      </c>
      <c r="G255">
        <v>0</v>
      </c>
      <c r="H255">
        <v>0</v>
      </c>
      <c r="I255" s="72">
        <f t="shared" si="6"/>
        <v>80.818280708289805</v>
      </c>
    </row>
    <row r="256" spans="1:9" x14ac:dyDescent="0.3">
      <c r="A256">
        <v>2035</v>
      </c>
      <c r="B256">
        <v>10</v>
      </c>
      <c r="C256">
        <v>31</v>
      </c>
      <c r="D256">
        <v>2035.8330000000001</v>
      </c>
      <c r="E256">
        <v>65.165979165357896</v>
      </c>
      <c r="F256">
        <v>15.7280435327544</v>
      </c>
      <c r="G256">
        <v>0</v>
      </c>
      <c r="H256">
        <v>0</v>
      </c>
      <c r="I256" s="72">
        <f t="shared" si="6"/>
        <v>80.894022698112295</v>
      </c>
    </row>
    <row r="257" spans="1:9" x14ac:dyDescent="0.3">
      <c r="A257">
        <v>2035</v>
      </c>
      <c r="B257">
        <v>11</v>
      </c>
      <c r="C257">
        <v>30</v>
      </c>
      <c r="D257">
        <v>2035.915</v>
      </c>
      <c r="E257">
        <v>65.245235465516799</v>
      </c>
      <c r="F257">
        <v>15.7044975070537</v>
      </c>
      <c r="G257">
        <v>0</v>
      </c>
      <c r="H257">
        <v>0</v>
      </c>
      <c r="I257" s="72">
        <f t="shared" si="6"/>
        <v>80.949732972570501</v>
      </c>
    </row>
    <row r="258" spans="1:9" x14ac:dyDescent="0.3">
      <c r="A258">
        <v>2035</v>
      </c>
      <c r="B258">
        <v>12</v>
      </c>
      <c r="C258">
        <v>31</v>
      </c>
      <c r="D258">
        <v>2036</v>
      </c>
      <c r="E258">
        <v>65.326845861897695</v>
      </c>
      <c r="F258">
        <v>15.6751892380131</v>
      </c>
      <c r="G258">
        <v>0</v>
      </c>
      <c r="H258">
        <v>0</v>
      </c>
      <c r="I258" s="72">
        <f t="shared" si="6"/>
        <v>81.002035099910799</v>
      </c>
    </row>
    <row r="259" spans="1:9" x14ac:dyDescent="0.3">
      <c r="A259">
        <v>2036</v>
      </c>
      <c r="B259">
        <v>1</v>
      </c>
      <c r="C259">
        <v>31</v>
      </c>
      <c r="D259">
        <v>2036.085</v>
      </c>
      <c r="E259">
        <v>65.408167829409706</v>
      </c>
      <c r="F259">
        <v>15.6468152115482</v>
      </c>
      <c r="G259">
        <v>0</v>
      </c>
      <c r="H259">
        <v>0</v>
      </c>
      <c r="I259" s="72">
        <f t="shared" si="6"/>
        <v>81.054983040957907</v>
      </c>
    </row>
    <row r="260" spans="1:9" x14ac:dyDescent="0.3">
      <c r="A260">
        <v>2036</v>
      </c>
      <c r="B260">
        <v>2</v>
      </c>
      <c r="C260">
        <v>29</v>
      </c>
      <c r="D260">
        <v>2036.164</v>
      </c>
      <c r="E260">
        <v>65.483983394865206</v>
      </c>
      <c r="F260">
        <v>15.625148660669399</v>
      </c>
      <c r="G260">
        <v>0</v>
      </c>
      <c r="H260">
        <v>0</v>
      </c>
      <c r="I260" s="72">
        <f t="shared" si="6"/>
        <v>81.109132055534602</v>
      </c>
    </row>
    <row r="261" spans="1:9" x14ac:dyDescent="0.3">
      <c r="A261">
        <v>2036</v>
      </c>
      <c r="B261">
        <v>3</v>
      </c>
      <c r="C261">
        <v>31</v>
      </c>
      <c r="D261">
        <v>2036.249</v>
      </c>
      <c r="E261">
        <v>65.564751251429499</v>
      </c>
      <c r="F261">
        <v>15.617578286676499</v>
      </c>
      <c r="G261">
        <v>0</v>
      </c>
      <c r="H261">
        <v>0</v>
      </c>
      <c r="I261" s="72">
        <f t="shared" si="6"/>
        <v>81.182329538106003</v>
      </c>
    </row>
    <row r="262" spans="1:9" x14ac:dyDescent="0.3">
      <c r="A262">
        <v>2036</v>
      </c>
      <c r="B262">
        <v>4</v>
      </c>
      <c r="C262">
        <v>30</v>
      </c>
      <c r="D262">
        <v>2036.3309999999999</v>
      </c>
      <c r="E262">
        <v>65.642643110832296</v>
      </c>
      <c r="F262">
        <v>15.6271652843861</v>
      </c>
      <c r="G262">
        <v>0</v>
      </c>
      <c r="H262">
        <v>0</v>
      </c>
      <c r="I262" s="72">
        <f t="shared" si="6"/>
        <v>81.269808395218391</v>
      </c>
    </row>
    <row r="263" spans="1:9" x14ac:dyDescent="0.3">
      <c r="A263">
        <v>2036</v>
      </c>
      <c r="B263">
        <v>5</v>
      </c>
      <c r="C263">
        <v>31</v>
      </c>
      <c r="D263">
        <v>2036.415</v>
      </c>
      <c r="E263">
        <v>65.722853158483801</v>
      </c>
      <c r="F263">
        <v>15.64775263642</v>
      </c>
      <c r="G263">
        <v>0</v>
      </c>
      <c r="H263">
        <v>0</v>
      </c>
      <c r="I263" s="72">
        <f t="shared" si="6"/>
        <v>81.370605794903796</v>
      </c>
    </row>
    <row r="264" spans="1:9" x14ac:dyDescent="0.3">
      <c r="A264">
        <v>2036</v>
      </c>
      <c r="B264">
        <v>6</v>
      </c>
      <c r="C264">
        <v>30</v>
      </c>
      <c r="D264">
        <v>2036.4970000000001</v>
      </c>
      <c r="E264">
        <v>65.800207879477199</v>
      </c>
      <c r="F264">
        <v>15.718608104209601</v>
      </c>
      <c r="G264">
        <v>0</v>
      </c>
      <c r="H264">
        <v>0</v>
      </c>
      <c r="I264" s="106">
        <f t="shared" ref="I264:I311" si="7">F264+E264</f>
        <v>81.518815983686807</v>
      </c>
    </row>
    <row r="265" spans="1:9" x14ac:dyDescent="0.3">
      <c r="A265">
        <v>2036</v>
      </c>
      <c r="B265">
        <v>7</v>
      </c>
      <c r="C265">
        <v>31</v>
      </c>
      <c r="D265">
        <v>2036.5820000000001</v>
      </c>
      <c r="E265">
        <v>65.879865632834694</v>
      </c>
      <c r="F265">
        <v>15.808927181339399</v>
      </c>
      <c r="G265">
        <v>0</v>
      </c>
      <c r="H265">
        <v>0</v>
      </c>
      <c r="I265" s="72">
        <f t="shared" si="7"/>
        <v>81.688792814174093</v>
      </c>
    </row>
    <row r="266" spans="1:9" x14ac:dyDescent="0.3">
      <c r="A266">
        <v>2036</v>
      </c>
      <c r="B266">
        <v>8</v>
      </c>
      <c r="C266">
        <v>31</v>
      </c>
      <c r="D266">
        <v>2036.6669999999999</v>
      </c>
      <c r="E266">
        <v>65.959244803650506</v>
      </c>
      <c r="F266">
        <v>15.9179874383513</v>
      </c>
      <c r="G266">
        <v>0</v>
      </c>
      <c r="H266">
        <v>0</v>
      </c>
      <c r="I266" s="72">
        <f t="shared" si="7"/>
        <v>81.87723224200181</v>
      </c>
    </row>
    <row r="267" spans="1:9" x14ac:dyDescent="0.3">
      <c r="A267">
        <v>2036</v>
      </c>
      <c r="B267">
        <v>9</v>
      </c>
      <c r="C267">
        <v>30</v>
      </c>
      <c r="D267">
        <v>2036.749</v>
      </c>
      <c r="E267">
        <v>66.035799425102994</v>
      </c>
      <c r="F267">
        <v>15.9932653299892</v>
      </c>
      <c r="G267">
        <v>0</v>
      </c>
      <c r="H267">
        <v>0</v>
      </c>
      <c r="I267" s="72">
        <f t="shared" si="7"/>
        <v>82.029064755092193</v>
      </c>
    </row>
    <row r="268" spans="1:9" x14ac:dyDescent="0.3">
      <c r="A268">
        <v>2036</v>
      </c>
      <c r="B268">
        <v>10</v>
      </c>
      <c r="C268">
        <v>31</v>
      </c>
      <c r="D268">
        <v>2036.8330000000001</v>
      </c>
      <c r="E268">
        <v>66.114634490804505</v>
      </c>
      <c r="F268">
        <v>15.9841615510996</v>
      </c>
      <c r="G268">
        <v>0</v>
      </c>
      <c r="H268">
        <v>0</v>
      </c>
      <c r="I268" s="72">
        <f t="shared" si="7"/>
        <v>82.098796041904109</v>
      </c>
    </row>
    <row r="269" spans="1:9" x14ac:dyDescent="0.3">
      <c r="A269">
        <v>2036</v>
      </c>
      <c r="B269">
        <v>11</v>
      </c>
      <c r="C269">
        <v>30</v>
      </c>
      <c r="D269">
        <v>2036.915</v>
      </c>
      <c r="E269">
        <v>66.190644155029602</v>
      </c>
      <c r="F269">
        <v>15.9583100321228</v>
      </c>
      <c r="G269">
        <v>0</v>
      </c>
      <c r="H269">
        <v>0</v>
      </c>
      <c r="I269" s="72">
        <f t="shared" si="7"/>
        <v>82.148954187152398</v>
      </c>
    </row>
    <row r="270" spans="1:9" x14ac:dyDescent="0.3">
      <c r="A270">
        <v>2036</v>
      </c>
      <c r="B270">
        <v>12</v>
      </c>
      <c r="C270">
        <v>31</v>
      </c>
      <c r="D270">
        <v>2037</v>
      </c>
      <c r="E270">
        <v>66.268917290117002</v>
      </c>
      <c r="F270">
        <v>15.9267928100052</v>
      </c>
      <c r="G270">
        <v>0</v>
      </c>
      <c r="H270">
        <v>0</v>
      </c>
      <c r="I270" s="72">
        <f t="shared" si="7"/>
        <v>82.195710100122199</v>
      </c>
    </row>
    <row r="271" spans="1:9" x14ac:dyDescent="0.3">
      <c r="A271">
        <v>2037</v>
      </c>
      <c r="B271">
        <v>1</v>
      </c>
      <c r="C271">
        <v>31</v>
      </c>
      <c r="D271">
        <v>2037.085</v>
      </c>
      <c r="E271">
        <v>66.346918738008299</v>
      </c>
      <c r="F271">
        <v>15.8963498844198</v>
      </c>
      <c r="G271">
        <v>0</v>
      </c>
      <c r="H271">
        <v>0</v>
      </c>
      <c r="I271" s="72">
        <f t="shared" si="7"/>
        <v>82.243268622428104</v>
      </c>
    </row>
    <row r="272" spans="1:9" x14ac:dyDescent="0.3">
      <c r="A272">
        <v>2037</v>
      </c>
      <c r="B272">
        <v>2</v>
      </c>
      <c r="C272">
        <v>28</v>
      </c>
      <c r="D272">
        <v>2037.162</v>
      </c>
      <c r="E272">
        <v>66.417139264923406</v>
      </c>
      <c r="F272">
        <v>15.873621194225301</v>
      </c>
      <c r="G272">
        <v>0</v>
      </c>
      <c r="H272">
        <v>0</v>
      </c>
      <c r="I272" s="72">
        <f t="shared" si="7"/>
        <v>82.290760459148714</v>
      </c>
    </row>
    <row r="273" spans="1:9" x14ac:dyDescent="0.3">
      <c r="A273">
        <v>2037</v>
      </c>
      <c r="B273">
        <v>3</v>
      </c>
      <c r="C273">
        <v>31</v>
      </c>
      <c r="D273">
        <v>2037.2470000000001</v>
      </c>
      <c r="E273">
        <v>66.494627366986194</v>
      </c>
      <c r="F273">
        <v>15.864160441563101</v>
      </c>
      <c r="G273">
        <v>0</v>
      </c>
      <c r="H273">
        <v>0</v>
      </c>
      <c r="I273" s="72">
        <f t="shared" si="7"/>
        <v>82.358787808549295</v>
      </c>
    </row>
    <row r="274" spans="1:9" x14ac:dyDescent="0.3">
      <c r="A274">
        <v>2037</v>
      </c>
      <c r="B274">
        <v>4</v>
      </c>
      <c r="C274">
        <v>30</v>
      </c>
      <c r="D274">
        <v>2037.329</v>
      </c>
      <c r="E274">
        <v>66.569360879966695</v>
      </c>
      <c r="F274">
        <v>15.8721523652016</v>
      </c>
      <c r="G274">
        <v>0</v>
      </c>
      <c r="H274">
        <v>0</v>
      </c>
      <c r="I274" s="72">
        <f t="shared" si="7"/>
        <v>82.441513245168295</v>
      </c>
    </row>
    <row r="275" spans="1:9" x14ac:dyDescent="0.3">
      <c r="A275">
        <v>2037</v>
      </c>
      <c r="B275">
        <v>5</v>
      </c>
      <c r="C275">
        <v>31</v>
      </c>
      <c r="D275">
        <v>2037.414</v>
      </c>
      <c r="E275">
        <v>66.646323333208997</v>
      </c>
      <c r="F275">
        <v>15.891220207348701</v>
      </c>
      <c r="G275">
        <v>0</v>
      </c>
      <c r="H275">
        <v>0</v>
      </c>
      <c r="I275" s="72">
        <f t="shared" si="7"/>
        <v>82.537543540557692</v>
      </c>
    </row>
    <row r="276" spans="1:9" x14ac:dyDescent="0.3">
      <c r="A276">
        <v>2037</v>
      </c>
      <c r="B276">
        <v>6</v>
      </c>
      <c r="C276">
        <v>30</v>
      </c>
      <c r="D276">
        <v>2037.4960000000001</v>
      </c>
      <c r="E276">
        <v>66.720550639303696</v>
      </c>
      <c r="F276">
        <v>15.961259616483201</v>
      </c>
      <c r="G276">
        <v>0</v>
      </c>
      <c r="H276">
        <v>0</v>
      </c>
      <c r="I276" s="106">
        <f t="shared" si="7"/>
        <v>82.6818102557869</v>
      </c>
    </row>
    <row r="277" spans="1:9" x14ac:dyDescent="0.3">
      <c r="A277">
        <v>2037</v>
      </c>
      <c r="B277">
        <v>7</v>
      </c>
      <c r="C277">
        <v>31</v>
      </c>
      <c r="D277">
        <v>2037.5809999999999</v>
      </c>
      <c r="E277">
        <v>66.796992564668898</v>
      </c>
      <c r="F277">
        <v>16.0509483983998</v>
      </c>
      <c r="G277">
        <v>0</v>
      </c>
      <c r="H277">
        <v>0</v>
      </c>
      <c r="I277" s="72">
        <f t="shared" si="7"/>
        <v>82.847940963068694</v>
      </c>
    </row>
    <row r="278" spans="1:9" x14ac:dyDescent="0.3">
      <c r="A278">
        <v>2037</v>
      </c>
      <c r="B278">
        <v>8</v>
      </c>
      <c r="C278">
        <v>31</v>
      </c>
      <c r="D278">
        <v>2037.6659999999999</v>
      </c>
      <c r="E278">
        <v>66.873171901939102</v>
      </c>
      <c r="F278">
        <v>16.159632917038401</v>
      </c>
      <c r="G278">
        <v>0</v>
      </c>
      <c r="H278">
        <v>0</v>
      </c>
      <c r="I278" s="72">
        <f t="shared" si="7"/>
        <v>83.032804818977496</v>
      </c>
    </row>
    <row r="279" spans="1:9" x14ac:dyDescent="0.3">
      <c r="A279">
        <v>2037</v>
      </c>
      <c r="B279">
        <v>9</v>
      </c>
      <c r="C279">
        <v>30</v>
      </c>
      <c r="D279">
        <v>2037.748</v>
      </c>
      <c r="E279">
        <v>66.946645045324701</v>
      </c>
      <c r="F279">
        <v>16.234220913095498</v>
      </c>
      <c r="G279">
        <v>0</v>
      </c>
      <c r="H279">
        <v>0</v>
      </c>
      <c r="I279" s="72">
        <f t="shared" si="7"/>
        <v>83.180865958420199</v>
      </c>
    </row>
    <row r="280" spans="1:9" x14ac:dyDescent="0.3">
      <c r="A280">
        <v>2037</v>
      </c>
      <c r="B280">
        <v>10</v>
      </c>
      <c r="C280">
        <v>31</v>
      </c>
      <c r="D280">
        <v>2037.8330000000001</v>
      </c>
      <c r="E280">
        <v>67.022311460308998</v>
      </c>
      <c r="F280">
        <v>16.223342996303199</v>
      </c>
      <c r="G280">
        <v>0</v>
      </c>
      <c r="H280">
        <v>0</v>
      </c>
      <c r="I280" s="72">
        <f t="shared" si="7"/>
        <v>83.245654456612201</v>
      </c>
    </row>
    <row r="281" spans="1:9" x14ac:dyDescent="0.3">
      <c r="A281">
        <v>2037</v>
      </c>
      <c r="B281">
        <v>11</v>
      </c>
      <c r="C281">
        <v>30</v>
      </c>
      <c r="D281">
        <v>2037.915</v>
      </c>
      <c r="E281">
        <v>67.095271592462097</v>
      </c>
      <c r="F281">
        <v>16.1955847242271</v>
      </c>
      <c r="G281">
        <v>0</v>
      </c>
      <c r="H281">
        <v>0</v>
      </c>
      <c r="I281" s="72">
        <f t="shared" si="7"/>
        <v>83.290856316689201</v>
      </c>
    </row>
    <row r="282" spans="1:9" x14ac:dyDescent="0.3">
      <c r="A282">
        <v>2037</v>
      </c>
      <c r="B282">
        <v>12</v>
      </c>
      <c r="C282">
        <v>31</v>
      </c>
      <c r="D282">
        <v>2038</v>
      </c>
      <c r="E282">
        <v>67.170409034007605</v>
      </c>
      <c r="F282">
        <v>16.162056796267301</v>
      </c>
      <c r="G282">
        <v>0</v>
      </c>
      <c r="H282">
        <v>0</v>
      </c>
      <c r="I282" s="72">
        <f t="shared" si="7"/>
        <v>83.332465830274913</v>
      </c>
    </row>
    <row r="283" spans="1:9" x14ac:dyDescent="0.3">
      <c r="A283">
        <v>2038</v>
      </c>
      <c r="B283">
        <v>1</v>
      </c>
      <c r="C283">
        <v>31</v>
      </c>
      <c r="D283">
        <v>2038.085</v>
      </c>
      <c r="E283">
        <v>67.245290289246299</v>
      </c>
      <c r="F283">
        <v>16.129633249139602</v>
      </c>
      <c r="G283">
        <v>0</v>
      </c>
      <c r="H283">
        <v>0</v>
      </c>
      <c r="I283" s="72">
        <f t="shared" si="7"/>
        <v>83.3749235383859</v>
      </c>
    </row>
    <row r="284" spans="1:9" x14ac:dyDescent="0.3">
      <c r="A284">
        <v>2038</v>
      </c>
      <c r="B284">
        <v>2</v>
      </c>
      <c r="C284">
        <v>28</v>
      </c>
      <c r="D284">
        <v>2038.162</v>
      </c>
      <c r="E284">
        <v>67.312705820991198</v>
      </c>
      <c r="F284">
        <v>16.105184140098402</v>
      </c>
      <c r="G284">
        <v>0</v>
      </c>
      <c r="H284">
        <v>0</v>
      </c>
      <c r="I284" s="72">
        <f t="shared" si="7"/>
        <v>83.4178899610896</v>
      </c>
    </row>
    <row r="285" spans="1:9" x14ac:dyDescent="0.3">
      <c r="A285">
        <v>2038</v>
      </c>
      <c r="B285">
        <v>3</v>
      </c>
      <c r="C285">
        <v>31</v>
      </c>
      <c r="D285">
        <v>2038.2470000000001</v>
      </c>
      <c r="E285">
        <v>67.387102967015593</v>
      </c>
      <c r="F285">
        <v>16.094015080815499</v>
      </c>
      <c r="G285">
        <v>0</v>
      </c>
      <c r="H285">
        <v>0</v>
      </c>
      <c r="I285" s="72">
        <f t="shared" si="7"/>
        <v>83.481118047831089</v>
      </c>
    </row>
    <row r="286" spans="1:9" x14ac:dyDescent="0.3">
      <c r="A286">
        <v>2038</v>
      </c>
      <c r="B286">
        <v>4</v>
      </c>
      <c r="C286">
        <v>30</v>
      </c>
      <c r="D286">
        <v>2038.329</v>
      </c>
      <c r="E286">
        <v>67.458859728075495</v>
      </c>
      <c r="F286">
        <v>16.100571265260701</v>
      </c>
      <c r="G286">
        <v>0</v>
      </c>
      <c r="H286">
        <v>0</v>
      </c>
      <c r="I286" s="72">
        <f t="shared" si="7"/>
        <v>83.559430993336193</v>
      </c>
    </row>
    <row r="287" spans="1:9" x14ac:dyDescent="0.3">
      <c r="A287">
        <v>2038</v>
      </c>
      <c r="B287">
        <v>5</v>
      </c>
      <c r="C287">
        <v>31</v>
      </c>
      <c r="D287">
        <v>2038.414</v>
      </c>
      <c r="E287">
        <v>67.532761091681294</v>
      </c>
      <c r="F287">
        <v>16.118274519247599</v>
      </c>
      <c r="G287">
        <v>0</v>
      </c>
      <c r="H287">
        <v>0</v>
      </c>
      <c r="I287" s="72">
        <f t="shared" si="7"/>
        <v>83.651035610928886</v>
      </c>
    </row>
    <row r="288" spans="1:9" x14ac:dyDescent="0.3">
      <c r="A288">
        <v>2038</v>
      </c>
      <c r="B288">
        <v>6</v>
      </c>
      <c r="C288">
        <v>30</v>
      </c>
      <c r="D288">
        <v>2038.4960000000001</v>
      </c>
      <c r="E288">
        <v>67.604040372898396</v>
      </c>
      <c r="F288">
        <v>16.187603489839699</v>
      </c>
      <c r="G288">
        <v>0</v>
      </c>
      <c r="H288">
        <v>0</v>
      </c>
      <c r="I288" s="106">
        <f t="shared" si="7"/>
        <v>83.791643862738098</v>
      </c>
    </row>
    <row r="289" spans="1:9" x14ac:dyDescent="0.3">
      <c r="A289">
        <v>2038</v>
      </c>
      <c r="B289">
        <v>7</v>
      </c>
      <c r="C289">
        <v>31</v>
      </c>
      <c r="D289">
        <v>2038.5809999999999</v>
      </c>
      <c r="E289">
        <v>67.677450712705394</v>
      </c>
      <c r="F289">
        <v>16.276756058427399</v>
      </c>
      <c r="G289">
        <v>0</v>
      </c>
      <c r="H289">
        <v>0</v>
      </c>
      <c r="I289" s="72">
        <f t="shared" si="7"/>
        <v>83.954206771132789</v>
      </c>
    </row>
    <row r="290" spans="1:9" x14ac:dyDescent="0.3">
      <c r="A290">
        <v>2038</v>
      </c>
      <c r="B290">
        <v>8</v>
      </c>
      <c r="C290">
        <v>31</v>
      </c>
      <c r="D290">
        <v>2038.6659999999999</v>
      </c>
      <c r="E290">
        <v>67.750613321035004</v>
      </c>
      <c r="F290">
        <v>16.385141198329599</v>
      </c>
      <c r="G290">
        <v>0</v>
      </c>
      <c r="H290">
        <v>0</v>
      </c>
      <c r="I290" s="72">
        <f t="shared" si="7"/>
        <v>84.13575451936461</v>
      </c>
    </row>
    <row r="291" spans="1:9" x14ac:dyDescent="0.3">
      <c r="A291">
        <v>2038</v>
      </c>
      <c r="B291">
        <v>9</v>
      </c>
      <c r="C291">
        <v>30</v>
      </c>
      <c r="D291">
        <v>2038.748</v>
      </c>
      <c r="E291">
        <v>67.821181108471293</v>
      </c>
      <c r="F291">
        <v>16.459133243852801</v>
      </c>
      <c r="G291">
        <v>0</v>
      </c>
      <c r="H291">
        <v>0</v>
      </c>
      <c r="I291" s="72">
        <f t="shared" si="7"/>
        <v>84.280314352324098</v>
      </c>
    </row>
    <row r="292" spans="1:9" x14ac:dyDescent="0.3">
      <c r="A292">
        <v>2038</v>
      </c>
      <c r="B292">
        <v>10</v>
      </c>
      <c r="C292">
        <v>31</v>
      </c>
      <c r="D292">
        <v>2038.8330000000001</v>
      </c>
      <c r="E292">
        <v>67.8938597615183</v>
      </c>
      <c r="F292">
        <v>16.446645767904698</v>
      </c>
      <c r="G292">
        <v>0</v>
      </c>
      <c r="H292">
        <v>0</v>
      </c>
      <c r="I292" s="72">
        <f t="shared" si="7"/>
        <v>84.340505529422998</v>
      </c>
    </row>
    <row r="293" spans="1:9" x14ac:dyDescent="0.3">
      <c r="A293">
        <v>2038</v>
      </c>
      <c r="B293">
        <v>11</v>
      </c>
      <c r="C293">
        <v>30</v>
      </c>
      <c r="D293">
        <v>2038.915</v>
      </c>
      <c r="E293">
        <v>67.963944132765505</v>
      </c>
      <c r="F293">
        <v>16.417151162361598</v>
      </c>
      <c r="G293">
        <v>0</v>
      </c>
      <c r="H293">
        <v>0</v>
      </c>
      <c r="I293" s="72">
        <f t="shared" si="7"/>
        <v>84.381095295127096</v>
      </c>
    </row>
    <row r="294" spans="1:9" x14ac:dyDescent="0.3">
      <c r="A294">
        <v>2038</v>
      </c>
      <c r="B294">
        <v>12</v>
      </c>
      <c r="C294">
        <v>31</v>
      </c>
      <c r="D294">
        <v>2039</v>
      </c>
      <c r="E294">
        <v>68.036124340075801</v>
      </c>
      <c r="F294">
        <v>16.381790130256601</v>
      </c>
      <c r="G294">
        <v>0</v>
      </c>
      <c r="H294">
        <v>0</v>
      </c>
      <c r="I294" s="72">
        <f t="shared" si="7"/>
        <v>84.417914470332406</v>
      </c>
    </row>
    <row r="295" spans="1:9" x14ac:dyDescent="0.3">
      <c r="A295">
        <v>2039</v>
      </c>
      <c r="B295">
        <v>1</v>
      </c>
      <c r="C295">
        <v>31</v>
      </c>
      <c r="D295">
        <v>2039.085</v>
      </c>
      <c r="E295">
        <v>68.108062763915797</v>
      </c>
      <c r="F295">
        <v>16.3475605510272</v>
      </c>
      <c r="G295">
        <v>0</v>
      </c>
      <c r="H295">
        <v>0</v>
      </c>
      <c r="I295" s="72">
        <f t="shared" si="7"/>
        <v>84.455623314942997</v>
      </c>
    </row>
    <row r="296" spans="1:9" x14ac:dyDescent="0.3">
      <c r="A296">
        <v>2039</v>
      </c>
      <c r="B296">
        <v>2</v>
      </c>
      <c r="C296">
        <v>28</v>
      </c>
      <c r="D296">
        <v>2039.162</v>
      </c>
      <c r="E296">
        <v>68.172832560333404</v>
      </c>
      <c r="F296">
        <v>16.321543437386001</v>
      </c>
      <c r="G296">
        <v>0</v>
      </c>
      <c r="H296">
        <v>0</v>
      </c>
      <c r="I296" s="72">
        <f t="shared" si="7"/>
        <v>84.494375997719402</v>
      </c>
    </row>
    <row r="297" spans="1:9" x14ac:dyDescent="0.3">
      <c r="A297">
        <v>2039</v>
      </c>
      <c r="B297">
        <v>3</v>
      </c>
      <c r="C297">
        <v>31</v>
      </c>
      <c r="D297">
        <v>2039.2470000000001</v>
      </c>
      <c r="E297">
        <v>68.2443140428785</v>
      </c>
      <c r="F297">
        <v>16.308821363035399</v>
      </c>
      <c r="G297">
        <v>0</v>
      </c>
      <c r="H297">
        <v>0</v>
      </c>
      <c r="I297" s="72">
        <f t="shared" si="7"/>
        <v>84.553135405913906</v>
      </c>
    </row>
    <row r="298" spans="1:9" x14ac:dyDescent="0.3">
      <c r="A298">
        <v>2039</v>
      </c>
      <c r="B298">
        <v>4</v>
      </c>
      <c r="C298">
        <v>30</v>
      </c>
      <c r="D298">
        <v>2039.329</v>
      </c>
      <c r="E298">
        <v>68.313262665474099</v>
      </c>
      <c r="F298">
        <v>16.314077353281899</v>
      </c>
      <c r="G298">
        <v>0</v>
      </c>
      <c r="H298">
        <v>0</v>
      </c>
      <c r="I298" s="72">
        <f t="shared" si="7"/>
        <v>84.627340018756001</v>
      </c>
    </row>
    <row r="299" spans="1:9" x14ac:dyDescent="0.3">
      <c r="A299">
        <v>2039</v>
      </c>
      <c r="B299">
        <v>5</v>
      </c>
      <c r="C299">
        <v>31</v>
      </c>
      <c r="D299">
        <v>2039.414</v>
      </c>
      <c r="E299">
        <v>68.384276122012594</v>
      </c>
      <c r="F299">
        <v>16.330547653556</v>
      </c>
      <c r="G299">
        <v>0</v>
      </c>
      <c r="H299">
        <v>0</v>
      </c>
      <c r="I299" s="72">
        <f t="shared" si="7"/>
        <v>84.71482377556859</v>
      </c>
    </row>
    <row r="300" spans="1:9" x14ac:dyDescent="0.3">
      <c r="A300">
        <v>2039</v>
      </c>
      <c r="B300">
        <v>6</v>
      </c>
      <c r="C300">
        <v>30</v>
      </c>
      <c r="D300">
        <v>2039.4960000000001</v>
      </c>
      <c r="E300">
        <v>68.452773963924301</v>
      </c>
      <c r="F300">
        <v>16.3992544217088</v>
      </c>
      <c r="G300">
        <v>0</v>
      </c>
      <c r="H300">
        <v>0</v>
      </c>
      <c r="I300" s="106">
        <f t="shared" si="7"/>
        <v>84.852028385633105</v>
      </c>
    </row>
    <row r="301" spans="1:9" x14ac:dyDescent="0.3">
      <c r="A301">
        <v>2039</v>
      </c>
      <c r="B301">
        <v>7</v>
      </c>
      <c r="C301">
        <v>31</v>
      </c>
      <c r="D301">
        <v>2039.5809999999999</v>
      </c>
      <c r="E301">
        <v>68.523323819672399</v>
      </c>
      <c r="F301">
        <v>16.487948738968001</v>
      </c>
      <c r="G301">
        <v>0</v>
      </c>
      <c r="H301">
        <v>0</v>
      </c>
      <c r="I301" s="72">
        <f t="shared" si="7"/>
        <v>85.0112725586404</v>
      </c>
    </row>
    <row r="302" spans="1:9" x14ac:dyDescent="0.3">
      <c r="A302">
        <v>2039</v>
      </c>
      <c r="B302">
        <v>8</v>
      </c>
      <c r="C302">
        <v>31</v>
      </c>
      <c r="D302">
        <v>2039.6659999999999</v>
      </c>
      <c r="E302">
        <v>68.593639753925004</v>
      </c>
      <c r="F302">
        <v>16.596096868062101</v>
      </c>
      <c r="G302">
        <v>0</v>
      </c>
      <c r="H302">
        <v>0</v>
      </c>
      <c r="I302" s="72">
        <f t="shared" si="7"/>
        <v>85.189736621987109</v>
      </c>
    </row>
    <row r="303" spans="1:9" x14ac:dyDescent="0.3">
      <c r="A303">
        <v>2039</v>
      </c>
      <c r="B303">
        <v>9</v>
      </c>
      <c r="C303">
        <v>30</v>
      </c>
      <c r="D303">
        <v>2039.748</v>
      </c>
      <c r="E303">
        <v>68.6614657649896</v>
      </c>
      <c r="F303">
        <v>16.669571325638099</v>
      </c>
      <c r="G303">
        <v>0</v>
      </c>
      <c r="H303">
        <v>0</v>
      </c>
      <c r="I303" s="72">
        <f t="shared" si="7"/>
        <v>85.331037090627703</v>
      </c>
    </row>
    <row r="304" spans="1:9" x14ac:dyDescent="0.3">
      <c r="A304">
        <v>2039</v>
      </c>
      <c r="B304">
        <v>10</v>
      </c>
      <c r="C304">
        <v>31</v>
      </c>
      <c r="D304">
        <v>2039.8330000000001</v>
      </c>
      <c r="E304">
        <v>68.731324672768096</v>
      </c>
      <c r="F304">
        <v>16.6556155454108</v>
      </c>
      <c r="G304">
        <v>0</v>
      </c>
      <c r="H304">
        <v>0</v>
      </c>
      <c r="I304" s="72">
        <f t="shared" si="7"/>
        <v>85.386940218178893</v>
      </c>
    </row>
    <row r="305" spans="1:9" x14ac:dyDescent="0.3">
      <c r="A305">
        <v>2039</v>
      </c>
      <c r="B305">
        <v>11</v>
      </c>
      <c r="C305">
        <v>30</v>
      </c>
      <c r="D305">
        <v>2039.915</v>
      </c>
      <c r="E305">
        <v>68.798695275982695</v>
      </c>
      <c r="F305">
        <v>16.624531459127802</v>
      </c>
      <c r="G305">
        <v>0</v>
      </c>
      <c r="H305">
        <v>0</v>
      </c>
      <c r="I305" s="72">
        <f t="shared" si="7"/>
        <v>85.423226735110489</v>
      </c>
    </row>
    <row r="306" spans="1:9" x14ac:dyDescent="0.3">
      <c r="A306">
        <v>2039</v>
      </c>
      <c r="B306">
        <v>12</v>
      </c>
      <c r="C306">
        <v>31</v>
      </c>
      <c r="D306">
        <v>2040</v>
      </c>
      <c r="E306">
        <v>68.868084043890704</v>
      </c>
      <c r="F306">
        <v>16.5874906030528</v>
      </c>
      <c r="G306">
        <v>0</v>
      </c>
      <c r="H306">
        <v>0</v>
      </c>
      <c r="I306" s="72">
        <f t="shared" si="7"/>
        <v>85.455574646943504</v>
      </c>
    </row>
    <row r="307" spans="1:9" x14ac:dyDescent="0.3">
      <c r="A307">
        <v>2040</v>
      </c>
      <c r="B307">
        <v>1</v>
      </c>
      <c r="C307">
        <v>31</v>
      </c>
      <c r="D307">
        <v>2040.085</v>
      </c>
      <c r="E307">
        <v>68.9372444210981</v>
      </c>
      <c r="F307">
        <v>16.551605774836101</v>
      </c>
      <c r="G307">
        <v>0</v>
      </c>
      <c r="H307">
        <v>0</v>
      </c>
      <c r="I307" s="72">
        <f t="shared" si="7"/>
        <v>85.488850195934205</v>
      </c>
    </row>
    <row r="308" spans="1:9" x14ac:dyDescent="0.3">
      <c r="A308">
        <v>2040</v>
      </c>
      <c r="B308">
        <v>2</v>
      </c>
      <c r="C308">
        <v>29</v>
      </c>
      <c r="D308">
        <v>2040.164</v>
      </c>
      <c r="E308">
        <v>69.001737039444706</v>
      </c>
      <c r="F308">
        <v>16.523558393822299</v>
      </c>
      <c r="G308">
        <v>0</v>
      </c>
      <c r="H308">
        <v>0</v>
      </c>
      <c r="I308" s="72">
        <f t="shared" si="7"/>
        <v>85.525295433267004</v>
      </c>
    </row>
    <row r="309" spans="1:9" x14ac:dyDescent="0.3">
      <c r="A309">
        <v>2040</v>
      </c>
      <c r="B309">
        <v>3</v>
      </c>
      <c r="C309">
        <v>31</v>
      </c>
      <c r="D309">
        <v>2040.249</v>
      </c>
      <c r="E309">
        <v>69.070458457539104</v>
      </c>
      <c r="F309">
        <v>16.510150810731599</v>
      </c>
      <c r="G309">
        <v>0</v>
      </c>
      <c r="H309">
        <v>0</v>
      </c>
      <c r="I309" s="72">
        <f t="shared" si="7"/>
        <v>85.580609268270706</v>
      </c>
    </row>
    <row r="310" spans="1:9" x14ac:dyDescent="0.3">
      <c r="A310">
        <v>2040</v>
      </c>
      <c r="B310">
        <v>4</v>
      </c>
      <c r="C310">
        <v>30</v>
      </c>
      <c r="D310">
        <v>2040.3309999999999</v>
      </c>
      <c r="E310">
        <v>69.136748611932802</v>
      </c>
      <c r="F310">
        <v>16.514185459182599</v>
      </c>
      <c r="G310">
        <v>0</v>
      </c>
      <c r="H310">
        <v>0</v>
      </c>
      <c r="I310" s="72">
        <f t="shared" si="7"/>
        <v>85.650934071115401</v>
      </c>
    </row>
    <row r="311" spans="1:9" x14ac:dyDescent="0.3">
      <c r="I311" s="72">
        <f t="shared" si="7"/>
        <v>0</v>
      </c>
    </row>
  </sheetData>
  <pageMargins left="0.70866141732283472" right="0.70866141732283472" top="0.74803149606299213" bottom="0.74803149606299213" header="0.31496062992125984" footer="0.31496062992125984"/>
  <pageSetup paperSize="9" scale="87" fitToHeight="2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8:R311"/>
  <sheetViews>
    <sheetView topLeftCell="A11" workbookViewId="0">
      <selection activeCell="G21" sqref="G21"/>
    </sheetView>
  </sheetViews>
  <sheetFormatPr defaultColWidth="9" defaultRowHeight="16.5" x14ac:dyDescent="0.3"/>
  <cols>
    <col min="1" max="1" width="73.28515625" bestFit="1" customWidth="1"/>
    <col min="2" max="2" width="6.85546875" bestFit="1" customWidth="1"/>
    <col min="3" max="3" width="4.28515625" bestFit="1" customWidth="1"/>
    <col min="4" max="4" width="9.140625"/>
    <col min="5" max="5" width="14.42578125" bestFit="1" customWidth="1"/>
    <col min="6" max="6" width="21.42578125" bestFit="1" customWidth="1"/>
    <col min="7" max="7" width="22.140625" bestFit="1" customWidth="1"/>
    <col min="8" max="8" width="22.5703125" bestFit="1" customWidth="1"/>
    <col min="9" max="9" width="21.140625" style="11" bestFit="1" customWidth="1"/>
    <col min="10" max="10" width="9" style="11"/>
    <col min="11" max="11" width="5" style="2" bestFit="1" customWidth="1"/>
    <col min="12" max="12" width="6" style="2" bestFit="1" customWidth="1"/>
    <col min="13" max="13" width="11.85546875" style="2" bestFit="1" customWidth="1"/>
    <col min="14" max="14" width="6" style="2" bestFit="1" customWidth="1"/>
    <col min="15" max="15" width="13.28515625" style="2" bestFit="1" customWidth="1"/>
    <col min="16" max="16" width="15.28515625" style="2" bestFit="1" customWidth="1"/>
    <col min="17" max="17" width="19" style="2" bestFit="1" customWidth="1"/>
    <col min="18" max="18" width="19.5703125" style="2" bestFit="1" customWidth="1"/>
    <col min="19" max="16384" width="9" style="2"/>
  </cols>
  <sheetData>
    <row r="8" spans="1:9" x14ac:dyDescent="0.3">
      <c r="A8" t="s">
        <v>260</v>
      </c>
      <c r="B8" t="s">
        <v>261</v>
      </c>
      <c r="C8" t="s">
        <v>262</v>
      </c>
      <c r="D8" t="s">
        <v>263</v>
      </c>
      <c r="E8" t="s">
        <v>264</v>
      </c>
      <c r="F8" t="s">
        <v>265</v>
      </c>
      <c r="G8" t="s">
        <v>266</v>
      </c>
      <c r="H8" t="s">
        <v>267</v>
      </c>
      <c r="I8" s="72" t="s">
        <v>268</v>
      </c>
    </row>
    <row r="9" spans="1:9" x14ac:dyDescent="0.3">
      <c r="E9" t="s">
        <v>269</v>
      </c>
      <c r="F9" t="s">
        <v>269</v>
      </c>
      <c r="G9" t="s">
        <v>269</v>
      </c>
      <c r="H9" t="s">
        <v>271</v>
      </c>
      <c r="I9" s="72" t="s">
        <v>269</v>
      </c>
    </row>
    <row r="10" spans="1:9" x14ac:dyDescent="0.3">
      <c r="A10">
        <v>2015</v>
      </c>
      <c r="B10">
        <v>4</v>
      </c>
      <c r="C10">
        <v>30</v>
      </c>
      <c r="D10">
        <v>2015.329</v>
      </c>
      <c r="E10">
        <v>0</v>
      </c>
      <c r="F10">
        <v>0</v>
      </c>
      <c r="I10" s="72">
        <f>E10+F10</f>
        <v>0</v>
      </c>
    </row>
    <row r="11" spans="1:9" x14ac:dyDescent="0.3">
      <c r="A11">
        <v>2015</v>
      </c>
      <c r="B11">
        <v>5</v>
      </c>
      <c r="C11">
        <v>31</v>
      </c>
      <c r="D11">
        <v>2015.414</v>
      </c>
      <c r="E11">
        <v>0.29370000000000002</v>
      </c>
      <c r="F11">
        <v>3.6864448682189998E-3</v>
      </c>
      <c r="G11">
        <v>0</v>
      </c>
      <c r="H11">
        <v>0</v>
      </c>
      <c r="I11" s="72">
        <f t="shared" ref="I11:I74" si="0">E11+F11</f>
        <v>0.29738644486821902</v>
      </c>
    </row>
    <row r="12" spans="1:9" x14ac:dyDescent="0.3">
      <c r="A12">
        <v>2015</v>
      </c>
      <c r="B12">
        <v>6</v>
      </c>
      <c r="C12">
        <v>30</v>
      </c>
      <c r="D12">
        <v>2015.4960000000001</v>
      </c>
      <c r="E12">
        <v>0.29370000000000002</v>
      </c>
      <c r="F12">
        <v>7.2950376546199996E-3</v>
      </c>
      <c r="G12">
        <v>0</v>
      </c>
      <c r="H12">
        <v>0</v>
      </c>
      <c r="I12" s="72">
        <f t="shared" si="0"/>
        <v>0.30099503765461999</v>
      </c>
    </row>
    <row r="13" spans="1:9" x14ac:dyDescent="0.3">
      <c r="A13">
        <v>2015</v>
      </c>
      <c r="B13">
        <v>7</v>
      </c>
      <c r="C13">
        <v>31</v>
      </c>
      <c r="D13">
        <v>2015.5809999999999</v>
      </c>
      <c r="E13">
        <v>0.29370387814465798</v>
      </c>
      <c r="F13">
        <v>1.0920921279849E-2</v>
      </c>
      <c r="G13">
        <v>0</v>
      </c>
      <c r="H13">
        <v>0</v>
      </c>
      <c r="I13" s="72">
        <f t="shared" si="0"/>
        <v>0.30462479942450699</v>
      </c>
    </row>
    <row r="14" spans="1:9" x14ac:dyDescent="0.3">
      <c r="A14">
        <v>2015</v>
      </c>
      <c r="B14">
        <v>8</v>
      </c>
      <c r="C14">
        <v>31</v>
      </c>
      <c r="D14">
        <v>2015.6659999999999</v>
      </c>
      <c r="E14">
        <v>0.29397334663194002</v>
      </c>
      <c r="F14">
        <v>1.4522992889489999E-2</v>
      </c>
      <c r="G14">
        <v>0</v>
      </c>
      <c r="H14">
        <v>0</v>
      </c>
      <c r="I14" s="72">
        <f t="shared" si="0"/>
        <v>0.30849633952143002</v>
      </c>
    </row>
    <row r="15" spans="1:9" x14ac:dyDescent="0.3">
      <c r="A15">
        <v>2015</v>
      </c>
      <c r="B15">
        <v>9</v>
      </c>
      <c r="C15">
        <v>30</v>
      </c>
      <c r="D15">
        <v>2015.748</v>
      </c>
      <c r="E15">
        <v>0.29705837958300102</v>
      </c>
      <c r="F15">
        <v>1.7912116847265999E-2</v>
      </c>
      <c r="G15">
        <v>0</v>
      </c>
      <c r="H15">
        <v>0</v>
      </c>
      <c r="I15" s="72">
        <f t="shared" si="0"/>
        <v>0.31497049643026703</v>
      </c>
    </row>
    <row r="16" spans="1:9" x14ac:dyDescent="0.3">
      <c r="A16">
        <v>2015</v>
      </c>
      <c r="B16">
        <v>10</v>
      </c>
      <c r="C16">
        <v>31</v>
      </c>
      <c r="D16">
        <v>2015.8330000000001</v>
      </c>
      <c r="E16">
        <v>0.31220449649046</v>
      </c>
      <c r="F16">
        <v>2.1266840985621999E-2</v>
      </c>
      <c r="G16">
        <v>0</v>
      </c>
      <c r="H16">
        <v>0</v>
      </c>
      <c r="I16" s="72">
        <f t="shared" si="0"/>
        <v>0.33347133747608199</v>
      </c>
    </row>
    <row r="17" spans="1:18" x14ac:dyDescent="0.3">
      <c r="A17">
        <v>2015</v>
      </c>
      <c r="B17">
        <v>11</v>
      </c>
      <c r="C17">
        <v>30</v>
      </c>
      <c r="D17">
        <v>2015.915</v>
      </c>
      <c r="E17">
        <v>0.36824685335931101</v>
      </c>
      <c r="F17">
        <v>2.4952910000441E-2</v>
      </c>
      <c r="G17">
        <v>0</v>
      </c>
      <c r="H17">
        <v>0</v>
      </c>
      <c r="I17" s="72">
        <f t="shared" si="0"/>
        <v>0.39319976335975199</v>
      </c>
    </row>
    <row r="18" spans="1:18" x14ac:dyDescent="0.3">
      <c r="A18">
        <v>2015</v>
      </c>
      <c r="B18">
        <v>12</v>
      </c>
      <c r="C18">
        <v>31</v>
      </c>
      <c r="D18">
        <v>2016</v>
      </c>
      <c r="E18">
        <v>0.51296191128972801</v>
      </c>
      <c r="F18">
        <v>3.0119986835275999E-2</v>
      </c>
      <c r="G18">
        <v>0</v>
      </c>
      <c r="H18">
        <v>0</v>
      </c>
      <c r="I18" s="72">
        <f t="shared" si="0"/>
        <v>0.54308189812500396</v>
      </c>
    </row>
    <row r="19" spans="1:18" x14ac:dyDescent="0.3">
      <c r="A19">
        <v>2016</v>
      </c>
      <c r="B19">
        <v>1</v>
      </c>
      <c r="C19">
        <v>31</v>
      </c>
      <c r="D19">
        <v>2016.085</v>
      </c>
      <c r="E19">
        <v>0.77095398471834298</v>
      </c>
      <c r="F19">
        <v>3.8039505182214002E-2</v>
      </c>
      <c r="G19">
        <v>0</v>
      </c>
      <c r="H19">
        <v>0</v>
      </c>
      <c r="I19" s="72">
        <f t="shared" si="0"/>
        <v>0.80899348990055697</v>
      </c>
    </row>
    <row r="20" spans="1:18" x14ac:dyDescent="0.3">
      <c r="A20">
        <v>2016</v>
      </c>
      <c r="B20">
        <v>2</v>
      </c>
      <c r="C20">
        <v>29</v>
      </c>
      <c r="D20">
        <v>2016.164</v>
      </c>
      <c r="E20">
        <v>1.1435979568301999</v>
      </c>
      <c r="F20">
        <v>4.9225862417250001E-2</v>
      </c>
      <c r="G20">
        <v>0</v>
      </c>
      <c r="H20">
        <v>0</v>
      </c>
      <c r="I20" s="72">
        <f t="shared" si="0"/>
        <v>1.1928238192474498</v>
      </c>
    </row>
    <row r="21" spans="1:18" x14ac:dyDescent="0.3">
      <c r="A21">
        <v>2016</v>
      </c>
      <c r="B21">
        <v>3</v>
      </c>
      <c r="C21">
        <v>31</v>
      </c>
      <c r="D21">
        <v>2016.249</v>
      </c>
      <c r="E21">
        <v>1.6886116405563201</v>
      </c>
      <c r="F21">
        <v>6.7059773271323994E-2</v>
      </c>
      <c r="G21">
        <v>0</v>
      </c>
      <c r="H21">
        <v>0</v>
      </c>
      <c r="I21" s="72">
        <f t="shared" si="0"/>
        <v>1.7556714138276441</v>
      </c>
    </row>
    <row r="22" spans="1:18" x14ac:dyDescent="0.3">
      <c r="A22">
        <v>2016</v>
      </c>
      <c r="B22">
        <v>4</v>
      </c>
      <c r="C22">
        <v>30</v>
      </c>
      <c r="D22">
        <v>2016.3309999999999</v>
      </c>
      <c r="E22">
        <v>2.4985468444237502</v>
      </c>
      <c r="F22">
        <v>9.1951213499471995E-2</v>
      </c>
      <c r="G22">
        <v>0</v>
      </c>
      <c r="H22">
        <v>0</v>
      </c>
      <c r="I22" s="72">
        <f t="shared" si="0"/>
        <v>2.590498057923222</v>
      </c>
    </row>
    <row r="23" spans="1:18" x14ac:dyDescent="0.3">
      <c r="A23">
        <v>2016</v>
      </c>
      <c r="B23">
        <v>5</v>
      </c>
      <c r="C23">
        <v>31</v>
      </c>
      <c r="D23">
        <v>2016.415</v>
      </c>
      <c r="E23">
        <v>3.36146885412417</v>
      </c>
      <c r="F23">
        <v>0.127039647158117</v>
      </c>
      <c r="G23">
        <v>0</v>
      </c>
      <c r="H23">
        <v>0</v>
      </c>
      <c r="I23" s="72">
        <f t="shared" si="0"/>
        <v>3.4885085012822872</v>
      </c>
    </row>
    <row r="24" spans="1:18" s="35" customFormat="1" x14ac:dyDescent="0.3">
      <c r="A24">
        <v>2016</v>
      </c>
      <c r="B24">
        <v>6</v>
      </c>
      <c r="C24">
        <v>30</v>
      </c>
      <c r="D24">
        <v>2016.4970000000001</v>
      </c>
      <c r="E24">
        <v>4.48415786265039</v>
      </c>
      <c r="F24">
        <v>0.17174437427429901</v>
      </c>
      <c r="G24">
        <v>0</v>
      </c>
      <c r="H24">
        <v>0</v>
      </c>
      <c r="I24" s="106">
        <f t="shared" si="0"/>
        <v>4.655902236924689</v>
      </c>
      <c r="J24" s="86"/>
    </row>
    <row r="25" spans="1:18" x14ac:dyDescent="0.3">
      <c r="A25">
        <v>2016</v>
      </c>
      <c r="B25">
        <v>7</v>
      </c>
      <c r="C25">
        <v>31</v>
      </c>
      <c r="D25">
        <v>2016.5820000000001</v>
      </c>
      <c r="E25">
        <v>5.5733337258618096</v>
      </c>
      <c r="F25">
        <v>0.228881673208499</v>
      </c>
      <c r="G25">
        <v>0</v>
      </c>
      <c r="H25">
        <v>0</v>
      </c>
      <c r="I25" s="72">
        <f t="shared" si="0"/>
        <v>5.8022153990703087</v>
      </c>
      <c r="K25" s="11" t="s">
        <v>260</v>
      </c>
      <c r="L25" s="11" t="s">
        <v>261</v>
      </c>
      <c r="M25" s="11" t="s">
        <v>272</v>
      </c>
      <c r="N25" s="2" t="s">
        <v>181</v>
      </c>
      <c r="O25" s="2" t="s">
        <v>273</v>
      </c>
      <c r="P25" s="2" t="s">
        <v>274</v>
      </c>
      <c r="Q25" s="2" t="s">
        <v>275</v>
      </c>
      <c r="R25" s="2" t="s">
        <v>276</v>
      </c>
    </row>
    <row r="26" spans="1:18" x14ac:dyDescent="0.3">
      <c r="A26">
        <v>2016</v>
      </c>
      <c r="B26">
        <v>8</v>
      </c>
      <c r="C26">
        <v>31</v>
      </c>
      <c r="D26">
        <v>2016.6669999999999</v>
      </c>
      <c r="E26">
        <v>6.49707683273901</v>
      </c>
      <c r="F26">
        <v>0.29579843709464498</v>
      </c>
      <c r="G26">
        <v>0</v>
      </c>
      <c r="H26">
        <v>0</v>
      </c>
      <c r="I26" s="72">
        <f t="shared" si="0"/>
        <v>6.7928752698336554</v>
      </c>
      <c r="K26" s="11">
        <v>2016</v>
      </c>
      <c r="L26" s="11">
        <v>6</v>
      </c>
      <c r="M26" s="97">
        <f>I24</f>
        <v>4.655902236924689</v>
      </c>
      <c r="N26" s="2">
        <f>'Abatement - Report 3'!$C$9</f>
        <v>24.62</v>
      </c>
      <c r="O26" s="99">
        <f>M26*N26</f>
        <v>114.62831307308585</v>
      </c>
      <c r="P26" s="99">
        <f>O26*44/12</f>
        <v>420.3038146013148</v>
      </c>
      <c r="Q26" s="96">
        <f>'Fuel Emissions'!$D$49</f>
        <v>1.0443472791320756</v>
      </c>
      <c r="R26" s="98">
        <f>P26-Q26</f>
        <v>419.25946732218273</v>
      </c>
    </row>
    <row r="27" spans="1:18" x14ac:dyDescent="0.3">
      <c r="A27">
        <v>2016</v>
      </c>
      <c r="B27">
        <v>9</v>
      </c>
      <c r="C27">
        <v>30</v>
      </c>
      <c r="D27">
        <v>2016.749</v>
      </c>
      <c r="E27">
        <v>7.4377260113528001</v>
      </c>
      <c r="F27">
        <v>0.367082728576407</v>
      </c>
      <c r="G27">
        <v>0</v>
      </c>
      <c r="H27">
        <v>0</v>
      </c>
      <c r="I27" s="72">
        <f t="shared" si="0"/>
        <v>7.8048087399292072</v>
      </c>
      <c r="K27" s="11">
        <v>2017</v>
      </c>
      <c r="L27" s="11">
        <v>6</v>
      </c>
      <c r="M27" s="97">
        <f>I36</f>
        <v>14.92385314172239</v>
      </c>
      <c r="N27" s="2">
        <f>'Abatement - Report 3'!$C$9</f>
        <v>24.62</v>
      </c>
      <c r="O27" s="99">
        <f t="shared" ref="O27:O35" si="1">M27*N27</f>
        <v>367.42526434920524</v>
      </c>
      <c r="P27" s="99">
        <f t="shared" ref="P27:P35" si="2">O27*44/12</f>
        <v>1347.2259692804191</v>
      </c>
      <c r="Q27" s="96">
        <f>'Fuel Emissions'!$D$49</f>
        <v>1.0443472791320756</v>
      </c>
      <c r="R27" s="96">
        <f t="shared" ref="R27:R35" si="3">P27-Q27</f>
        <v>1346.181622001287</v>
      </c>
    </row>
    <row r="28" spans="1:18" x14ac:dyDescent="0.3">
      <c r="A28">
        <v>2016</v>
      </c>
      <c r="B28">
        <v>10</v>
      </c>
      <c r="C28">
        <v>31</v>
      </c>
      <c r="D28">
        <v>2016.8330000000001</v>
      </c>
      <c r="E28">
        <v>8.4482072841087401</v>
      </c>
      <c r="F28">
        <v>0.44538683832717002</v>
      </c>
      <c r="G28">
        <v>0</v>
      </c>
      <c r="H28">
        <v>0</v>
      </c>
      <c r="I28" s="72">
        <f t="shared" si="0"/>
        <v>8.8935941224359105</v>
      </c>
      <c r="K28" s="11">
        <v>2018</v>
      </c>
      <c r="L28" s="11">
        <v>6</v>
      </c>
      <c r="M28" s="97">
        <f>I48</f>
        <v>22.48632405754935</v>
      </c>
      <c r="N28" s="2">
        <f>'Abatement - Report 3'!$C$9</f>
        <v>24.62</v>
      </c>
      <c r="O28" s="99">
        <f t="shared" si="1"/>
        <v>553.61329829686497</v>
      </c>
      <c r="P28" s="99">
        <f t="shared" si="2"/>
        <v>2029.9154270885049</v>
      </c>
      <c r="Q28" s="96">
        <f>'Fuel Emissions'!$D$49</f>
        <v>1.0443472791320756</v>
      </c>
      <c r="R28" s="96">
        <f t="shared" si="3"/>
        <v>2028.8710798093728</v>
      </c>
    </row>
    <row r="29" spans="1:18" x14ac:dyDescent="0.3">
      <c r="A29">
        <v>2016</v>
      </c>
      <c r="B29">
        <v>11</v>
      </c>
      <c r="C29">
        <v>30</v>
      </c>
      <c r="D29">
        <v>2016.915</v>
      </c>
      <c r="E29">
        <v>9.1960325785034307</v>
      </c>
      <c r="F29">
        <v>0.52727348212858105</v>
      </c>
      <c r="G29">
        <v>0</v>
      </c>
      <c r="H29">
        <v>0</v>
      </c>
      <c r="I29" s="72">
        <f t="shared" si="0"/>
        <v>9.7233060606320123</v>
      </c>
      <c r="K29" s="11">
        <v>2019</v>
      </c>
      <c r="L29" s="11">
        <v>6</v>
      </c>
      <c r="M29" s="97">
        <f>I60</f>
        <v>30.406572363024168</v>
      </c>
      <c r="N29" s="2">
        <f>'Abatement - Report 3'!$C$9</f>
        <v>24.62</v>
      </c>
      <c r="O29" s="99">
        <f t="shared" si="1"/>
        <v>748.60981157765502</v>
      </c>
      <c r="P29" s="99">
        <f t="shared" si="2"/>
        <v>2744.9026424514018</v>
      </c>
      <c r="Q29" s="96">
        <f>'Fuel Emissions'!$D$49</f>
        <v>1.0443472791320756</v>
      </c>
      <c r="R29" s="96">
        <f t="shared" si="3"/>
        <v>2743.8582951722697</v>
      </c>
    </row>
    <row r="30" spans="1:18" x14ac:dyDescent="0.3">
      <c r="A30">
        <v>2016</v>
      </c>
      <c r="B30">
        <v>12</v>
      </c>
      <c r="C30">
        <v>31</v>
      </c>
      <c r="D30">
        <v>2017</v>
      </c>
      <c r="E30">
        <v>9.9846388834212298</v>
      </c>
      <c r="F30">
        <v>0.61612866594016802</v>
      </c>
      <c r="G30">
        <v>0</v>
      </c>
      <c r="H30">
        <v>0</v>
      </c>
      <c r="I30" s="72">
        <f t="shared" si="0"/>
        <v>10.600767549361398</v>
      </c>
      <c r="K30" s="11">
        <v>2020</v>
      </c>
      <c r="L30" s="11">
        <v>6</v>
      </c>
      <c r="M30" s="97">
        <f>I72</f>
        <v>37.232908917117371</v>
      </c>
      <c r="N30" s="2">
        <f>'Abatement - Report 3'!$C$9</f>
        <v>24.62</v>
      </c>
      <c r="O30" s="99">
        <f t="shared" si="1"/>
        <v>916.67421753942972</v>
      </c>
      <c r="P30" s="99">
        <f t="shared" si="2"/>
        <v>3361.1387976445753</v>
      </c>
      <c r="Q30" s="96">
        <f>'Fuel Emissions'!$D$49</f>
        <v>1.0443472791320756</v>
      </c>
      <c r="R30" s="96">
        <f t="shared" si="3"/>
        <v>3360.0944503654432</v>
      </c>
    </row>
    <row r="31" spans="1:18" x14ac:dyDescent="0.3">
      <c r="A31">
        <v>2017</v>
      </c>
      <c r="B31">
        <v>1</v>
      </c>
      <c r="C31">
        <v>31</v>
      </c>
      <c r="D31">
        <v>2017.085</v>
      </c>
      <c r="E31">
        <v>10.7867631731412</v>
      </c>
      <c r="F31">
        <v>0.70958279272714497</v>
      </c>
      <c r="G31">
        <v>0</v>
      </c>
      <c r="H31">
        <v>0</v>
      </c>
      <c r="I31" s="72">
        <f t="shared" si="0"/>
        <v>11.496345965868345</v>
      </c>
      <c r="K31" s="11">
        <v>2021</v>
      </c>
      <c r="L31" s="11">
        <v>6</v>
      </c>
      <c r="M31" s="97">
        <f>I84</f>
        <v>43.825520785004471</v>
      </c>
      <c r="N31" s="2">
        <f>'Abatement - Report 3'!$C$9</f>
        <v>24.62</v>
      </c>
      <c r="O31" s="99">
        <f t="shared" si="1"/>
        <v>1078.9843217268101</v>
      </c>
      <c r="P31" s="99">
        <f t="shared" si="2"/>
        <v>3956.2758463316368</v>
      </c>
      <c r="Q31" s="96">
        <f>'Fuel Emissions'!$D$49</f>
        <v>1.0443472791320756</v>
      </c>
      <c r="R31" s="96">
        <f t="shared" si="3"/>
        <v>3955.2314990525047</v>
      </c>
    </row>
    <row r="32" spans="1:18" x14ac:dyDescent="0.3">
      <c r="A32">
        <v>2017</v>
      </c>
      <c r="B32">
        <v>2</v>
      </c>
      <c r="C32">
        <v>28</v>
      </c>
      <c r="D32">
        <v>2017.162</v>
      </c>
      <c r="E32">
        <v>11.5208647979542</v>
      </c>
      <c r="F32">
        <v>0.79799059914791304</v>
      </c>
      <c r="G32">
        <v>0</v>
      </c>
      <c r="H32">
        <v>0</v>
      </c>
      <c r="I32" s="72">
        <f t="shared" si="0"/>
        <v>12.318855397102112</v>
      </c>
      <c r="K32" s="11">
        <v>2022</v>
      </c>
      <c r="L32" s="11">
        <v>6</v>
      </c>
      <c r="M32" s="97">
        <f>I96</f>
        <v>49.183793898341129</v>
      </c>
      <c r="N32" s="2">
        <f>'Abatement - Report 3'!$C$9</f>
        <v>24.62</v>
      </c>
      <c r="O32" s="99">
        <f t="shared" si="1"/>
        <v>1210.9050057771587</v>
      </c>
      <c r="P32" s="99">
        <f t="shared" si="2"/>
        <v>4439.9850211829153</v>
      </c>
      <c r="Q32" s="96">
        <f>'Fuel Emissions'!$D$49</f>
        <v>1.0443472791320756</v>
      </c>
      <c r="R32" s="96">
        <f t="shared" si="3"/>
        <v>4438.9406739037831</v>
      </c>
    </row>
    <row r="33" spans="1:18" x14ac:dyDescent="0.3">
      <c r="A33">
        <v>2017</v>
      </c>
      <c r="B33">
        <v>3</v>
      </c>
      <c r="C33">
        <v>31</v>
      </c>
      <c r="D33">
        <v>2017.2470000000001</v>
      </c>
      <c r="E33">
        <v>12.3356451322236</v>
      </c>
      <c r="F33">
        <v>0.90083532161644497</v>
      </c>
      <c r="G33">
        <v>0</v>
      </c>
      <c r="H33">
        <v>0</v>
      </c>
      <c r="I33" s="72">
        <f t="shared" si="0"/>
        <v>13.236480453840045</v>
      </c>
      <c r="K33" s="11">
        <v>2023</v>
      </c>
      <c r="L33" s="11">
        <v>6</v>
      </c>
      <c r="M33" s="97">
        <f>I108</f>
        <v>54.53301595970305</v>
      </c>
      <c r="N33" s="2">
        <f>'Abatement - Report 3'!$C$9</f>
        <v>24.62</v>
      </c>
      <c r="O33" s="99">
        <f t="shared" si="1"/>
        <v>1342.6028529278892</v>
      </c>
      <c r="P33" s="99">
        <f t="shared" si="2"/>
        <v>4922.8771274022611</v>
      </c>
      <c r="Q33" s="96">
        <f>'Fuel Emissions'!$D$49</f>
        <v>1.0443472791320756</v>
      </c>
      <c r="R33" s="96">
        <f t="shared" si="3"/>
        <v>4921.8327801231289</v>
      </c>
    </row>
    <row r="34" spans="1:18" x14ac:dyDescent="0.3">
      <c r="A34">
        <v>2017</v>
      </c>
      <c r="B34">
        <v>4</v>
      </c>
      <c r="C34">
        <v>30</v>
      </c>
      <c r="D34">
        <v>2017.329</v>
      </c>
      <c r="E34">
        <v>12.871475031541101</v>
      </c>
      <c r="F34">
        <v>1.00468490108344</v>
      </c>
      <c r="G34">
        <v>0</v>
      </c>
      <c r="H34">
        <v>0</v>
      </c>
      <c r="I34" s="72">
        <f t="shared" si="0"/>
        <v>13.876159932624541</v>
      </c>
      <c r="K34" s="11">
        <v>2024</v>
      </c>
      <c r="L34" s="11">
        <v>6</v>
      </c>
      <c r="M34" s="97">
        <f>I120</f>
        <v>59.189153340997507</v>
      </c>
      <c r="N34" s="2">
        <f>'Abatement - Report 3'!$C$9</f>
        <v>24.62</v>
      </c>
      <c r="O34" s="99">
        <f t="shared" si="1"/>
        <v>1457.2369552553587</v>
      </c>
      <c r="P34" s="99">
        <f t="shared" si="2"/>
        <v>5343.202169269648</v>
      </c>
      <c r="Q34" s="96">
        <f>'Fuel Emissions'!$D$49</f>
        <v>1.0443472791320756</v>
      </c>
      <c r="R34" s="96">
        <f t="shared" si="3"/>
        <v>5342.1578219905159</v>
      </c>
    </row>
    <row r="35" spans="1:18" x14ac:dyDescent="0.3">
      <c r="A35">
        <v>2017</v>
      </c>
      <c r="B35">
        <v>5</v>
      </c>
      <c r="C35">
        <v>31</v>
      </c>
      <c r="D35">
        <v>2017.414</v>
      </c>
      <c r="E35">
        <v>13.420855173495999</v>
      </c>
      <c r="F35">
        <v>1.1133574739524501</v>
      </c>
      <c r="G35">
        <v>0</v>
      </c>
      <c r="H35">
        <v>0</v>
      </c>
      <c r="I35" s="72">
        <f t="shared" si="0"/>
        <v>14.534212647448449</v>
      </c>
      <c r="K35" s="11">
        <v>2025</v>
      </c>
      <c r="L35" s="11">
        <v>6</v>
      </c>
      <c r="M35" s="97">
        <f>I132</f>
        <v>63.361401460780698</v>
      </c>
      <c r="N35" s="2">
        <f>'Abatement - Report 3'!$C$9</f>
        <v>24.62</v>
      </c>
      <c r="O35" s="99">
        <f t="shared" si="1"/>
        <v>1559.9577039644209</v>
      </c>
      <c r="P35" s="99">
        <f t="shared" si="2"/>
        <v>5719.8449145362101</v>
      </c>
      <c r="Q35" s="96">
        <f>'Fuel Emissions'!$D$49</f>
        <v>1.0443472791320756</v>
      </c>
      <c r="R35" s="96">
        <f t="shared" si="3"/>
        <v>5718.800567257078</v>
      </c>
    </row>
    <row r="36" spans="1:18" x14ac:dyDescent="0.3">
      <c r="A36">
        <v>2017</v>
      </c>
      <c r="B36">
        <v>6</v>
      </c>
      <c r="C36">
        <v>30</v>
      </c>
      <c r="D36">
        <v>2017.4960000000001</v>
      </c>
      <c r="E36">
        <v>13.698562454532301</v>
      </c>
      <c r="F36">
        <v>1.2252906871900899</v>
      </c>
      <c r="G36">
        <v>0</v>
      </c>
      <c r="H36">
        <v>0</v>
      </c>
      <c r="I36" s="106">
        <f t="shared" si="0"/>
        <v>14.92385314172239</v>
      </c>
      <c r="J36" s="11">
        <v>14.92385314172239</v>
      </c>
    </row>
    <row r="37" spans="1:18" x14ac:dyDescent="0.3">
      <c r="A37">
        <v>2017</v>
      </c>
      <c r="B37">
        <v>7</v>
      </c>
      <c r="C37">
        <v>31</v>
      </c>
      <c r="D37">
        <v>2017.5809999999999</v>
      </c>
      <c r="E37">
        <v>13.974495305057999</v>
      </c>
      <c r="F37">
        <v>1.3414563336118299</v>
      </c>
      <c r="G37">
        <v>0</v>
      </c>
      <c r="H37">
        <v>0</v>
      </c>
      <c r="I37" s="72">
        <f t="shared" si="0"/>
        <v>15.31595163866983</v>
      </c>
    </row>
    <row r="38" spans="1:18" x14ac:dyDescent="0.3">
      <c r="A38">
        <v>2017</v>
      </c>
      <c r="B38">
        <v>8</v>
      </c>
      <c r="C38">
        <v>31</v>
      </c>
      <c r="D38">
        <v>2017.6659999999999</v>
      </c>
      <c r="E38">
        <v>14.5229946791305</v>
      </c>
      <c r="F38">
        <v>1.4618144237372199</v>
      </c>
      <c r="G38">
        <v>0</v>
      </c>
      <c r="H38">
        <v>0</v>
      </c>
      <c r="I38" s="72">
        <f t="shared" si="0"/>
        <v>15.98480910286772</v>
      </c>
    </row>
    <row r="39" spans="1:18" x14ac:dyDescent="0.3">
      <c r="A39">
        <v>2017</v>
      </c>
      <c r="B39">
        <v>9</v>
      </c>
      <c r="C39">
        <v>30</v>
      </c>
      <c r="D39">
        <v>2017.748</v>
      </c>
      <c r="E39">
        <v>15.057514593212501</v>
      </c>
      <c r="F39">
        <v>1.57788769695474</v>
      </c>
      <c r="G39">
        <v>0</v>
      </c>
      <c r="H39">
        <v>0</v>
      </c>
      <c r="I39" s="72">
        <f t="shared" si="0"/>
        <v>16.635402290167242</v>
      </c>
    </row>
    <row r="40" spans="1:18" x14ac:dyDescent="0.3">
      <c r="A40">
        <v>2017</v>
      </c>
      <c r="B40">
        <v>10</v>
      </c>
      <c r="C40">
        <v>31</v>
      </c>
      <c r="D40">
        <v>2017.8330000000001</v>
      </c>
      <c r="E40">
        <v>15.608576143240001</v>
      </c>
      <c r="F40">
        <v>1.68740951171423</v>
      </c>
      <c r="G40">
        <v>0</v>
      </c>
      <c r="H40">
        <v>0</v>
      </c>
      <c r="I40" s="72">
        <f t="shared" si="0"/>
        <v>17.295985654954229</v>
      </c>
    </row>
    <row r="41" spans="1:18" x14ac:dyDescent="0.3">
      <c r="A41">
        <v>2017</v>
      </c>
      <c r="B41">
        <v>11</v>
      </c>
      <c r="C41">
        <v>30</v>
      </c>
      <c r="D41">
        <v>2017.915</v>
      </c>
      <c r="E41">
        <v>16.142130402351601</v>
      </c>
      <c r="F41">
        <v>1.7937584985232</v>
      </c>
      <c r="G41">
        <v>0</v>
      </c>
      <c r="H41">
        <v>0</v>
      </c>
      <c r="I41" s="72">
        <f t="shared" si="0"/>
        <v>17.935888900874801</v>
      </c>
    </row>
    <row r="42" spans="1:18" x14ac:dyDescent="0.3">
      <c r="A42">
        <v>2017</v>
      </c>
      <c r="B42">
        <v>12</v>
      </c>
      <c r="C42">
        <v>31</v>
      </c>
      <c r="D42">
        <v>2018</v>
      </c>
      <c r="E42">
        <v>16.693388960352401</v>
      </c>
      <c r="F42">
        <v>1.9039829116731199</v>
      </c>
      <c r="G42">
        <v>0</v>
      </c>
      <c r="H42">
        <v>0</v>
      </c>
      <c r="I42" s="72">
        <f t="shared" si="0"/>
        <v>18.597371872025519</v>
      </c>
    </row>
    <row r="43" spans="1:18" x14ac:dyDescent="0.3">
      <c r="A43">
        <v>2018</v>
      </c>
      <c r="B43">
        <v>1</v>
      </c>
      <c r="C43">
        <v>31</v>
      </c>
      <c r="D43">
        <v>2018.085</v>
      </c>
      <c r="E43">
        <v>17.244226143958699</v>
      </c>
      <c r="F43">
        <v>2.0154313242046098</v>
      </c>
      <c r="G43">
        <v>0</v>
      </c>
      <c r="H43">
        <v>0</v>
      </c>
      <c r="I43" s="72">
        <f t="shared" si="0"/>
        <v>19.259657468163308</v>
      </c>
    </row>
    <row r="44" spans="1:18" x14ac:dyDescent="0.3">
      <c r="A44">
        <v>2018</v>
      </c>
      <c r="B44">
        <v>2</v>
      </c>
      <c r="C44">
        <v>28</v>
      </c>
      <c r="D44">
        <v>2018.162</v>
      </c>
      <c r="E44">
        <v>17.7411288232916</v>
      </c>
      <c r="F44">
        <v>2.1173885637938499</v>
      </c>
      <c r="G44">
        <v>0</v>
      </c>
      <c r="H44">
        <v>0</v>
      </c>
      <c r="I44" s="72">
        <f t="shared" si="0"/>
        <v>19.858517387085449</v>
      </c>
    </row>
    <row r="45" spans="1:18" x14ac:dyDescent="0.3">
      <c r="A45">
        <v>2018</v>
      </c>
      <c r="B45">
        <v>3</v>
      </c>
      <c r="C45">
        <v>31</v>
      </c>
      <c r="D45">
        <v>2018.2470000000001</v>
      </c>
      <c r="E45">
        <v>18.289019415372699</v>
      </c>
      <c r="F45">
        <v>2.23354437351168</v>
      </c>
      <c r="G45">
        <v>0</v>
      </c>
      <c r="H45">
        <v>0</v>
      </c>
      <c r="I45" s="72">
        <f t="shared" si="0"/>
        <v>20.52256378888438</v>
      </c>
    </row>
    <row r="46" spans="1:18" x14ac:dyDescent="0.3">
      <c r="A46">
        <v>2018</v>
      </c>
      <c r="B46">
        <v>4</v>
      </c>
      <c r="C46">
        <v>30</v>
      </c>
      <c r="D46">
        <v>2018.329</v>
      </c>
      <c r="E46">
        <v>18.816512957307499</v>
      </c>
      <c r="F46">
        <v>2.3504901120669199</v>
      </c>
      <c r="G46">
        <v>0</v>
      </c>
      <c r="H46">
        <v>0</v>
      </c>
      <c r="I46" s="72">
        <f t="shared" si="0"/>
        <v>21.167003069374417</v>
      </c>
    </row>
    <row r="47" spans="1:18" x14ac:dyDescent="0.3">
      <c r="A47">
        <v>2018</v>
      </c>
      <c r="B47">
        <v>5</v>
      </c>
      <c r="C47">
        <v>31</v>
      </c>
      <c r="D47">
        <v>2018.414</v>
      </c>
      <c r="E47">
        <v>19.360088727228401</v>
      </c>
      <c r="F47">
        <v>2.4716301131708498</v>
      </c>
      <c r="G47">
        <v>0</v>
      </c>
      <c r="H47">
        <v>0</v>
      </c>
      <c r="I47" s="72">
        <f t="shared" si="0"/>
        <v>21.831718840399251</v>
      </c>
    </row>
    <row r="48" spans="1:18" x14ac:dyDescent="0.3">
      <c r="A48">
        <v>2018</v>
      </c>
      <c r="B48">
        <v>6</v>
      </c>
      <c r="C48">
        <v>30</v>
      </c>
      <c r="D48">
        <v>2018.4960000000001</v>
      </c>
      <c r="E48">
        <v>19.8844584183988</v>
      </c>
      <c r="F48">
        <v>2.6018656391505499</v>
      </c>
      <c r="G48">
        <v>0</v>
      </c>
      <c r="H48">
        <v>0</v>
      </c>
      <c r="I48" s="106">
        <f t="shared" si="0"/>
        <v>22.48632405754935</v>
      </c>
      <c r="J48" s="11">
        <v>19.437780978286522</v>
      </c>
    </row>
    <row r="49" spans="1:10" x14ac:dyDescent="0.3">
      <c r="A49">
        <v>2018</v>
      </c>
      <c r="B49">
        <v>7</v>
      </c>
      <c r="C49">
        <v>31</v>
      </c>
      <c r="D49">
        <v>2018.5809999999999</v>
      </c>
      <c r="E49">
        <v>20.689186165053599</v>
      </c>
      <c r="F49">
        <v>2.74041160336124</v>
      </c>
      <c r="G49">
        <v>0</v>
      </c>
      <c r="H49">
        <v>0</v>
      </c>
      <c r="I49" s="72">
        <f t="shared" si="0"/>
        <v>23.429597768414837</v>
      </c>
    </row>
    <row r="50" spans="1:10" x14ac:dyDescent="0.3">
      <c r="A50">
        <v>2018</v>
      </c>
      <c r="B50">
        <v>8</v>
      </c>
      <c r="C50">
        <v>31</v>
      </c>
      <c r="D50">
        <v>2018.6659999999999</v>
      </c>
      <c r="E50">
        <v>21.232270449478101</v>
      </c>
      <c r="F50">
        <v>2.8869942829131698</v>
      </c>
      <c r="G50">
        <v>0</v>
      </c>
      <c r="H50">
        <v>0</v>
      </c>
      <c r="I50" s="72">
        <f t="shared" si="0"/>
        <v>24.119264732391272</v>
      </c>
    </row>
    <row r="51" spans="1:10" x14ac:dyDescent="0.3">
      <c r="A51">
        <v>2018</v>
      </c>
      <c r="B51">
        <v>9</v>
      </c>
      <c r="C51">
        <v>30</v>
      </c>
      <c r="D51">
        <v>2018.748</v>
      </c>
      <c r="E51">
        <v>21.747052490253601</v>
      </c>
      <c r="F51">
        <v>3.0257559948605501</v>
      </c>
      <c r="G51">
        <v>0</v>
      </c>
      <c r="H51">
        <v>0</v>
      </c>
      <c r="I51" s="72">
        <f t="shared" si="0"/>
        <v>24.772808485114151</v>
      </c>
    </row>
    <row r="52" spans="1:10" x14ac:dyDescent="0.3">
      <c r="A52">
        <v>2018</v>
      </c>
      <c r="B52">
        <v>10</v>
      </c>
      <c r="C52">
        <v>31</v>
      </c>
      <c r="D52">
        <v>2018.8330000000001</v>
      </c>
      <c r="E52">
        <v>22.2764496249271</v>
      </c>
      <c r="F52">
        <v>3.1472364329413298</v>
      </c>
      <c r="G52">
        <v>0</v>
      </c>
      <c r="H52">
        <v>0</v>
      </c>
      <c r="I52" s="72">
        <f t="shared" si="0"/>
        <v>25.42368605786843</v>
      </c>
    </row>
    <row r="53" spans="1:10" x14ac:dyDescent="0.3">
      <c r="A53">
        <v>2018</v>
      </c>
      <c r="B53">
        <v>11</v>
      </c>
      <c r="C53">
        <v>30</v>
      </c>
      <c r="D53">
        <v>2018.915</v>
      </c>
      <c r="E53">
        <v>22.786169729975001</v>
      </c>
      <c r="F53">
        <v>3.2626573177532201</v>
      </c>
      <c r="G53">
        <v>0</v>
      </c>
      <c r="H53">
        <v>0</v>
      </c>
      <c r="I53" s="72">
        <f t="shared" si="0"/>
        <v>26.048827047728221</v>
      </c>
    </row>
    <row r="54" spans="1:10" x14ac:dyDescent="0.3">
      <c r="A54">
        <v>2018</v>
      </c>
      <c r="B54">
        <v>12</v>
      </c>
      <c r="C54">
        <v>31</v>
      </c>
      <c r="D54">
        <v>2019</v>
      </c>
      <c r="E54">
        <v>23.310062851119699</v>
      </c>
      <c r="F54">
        <v>3.3806721298769902</v>
      </c>
      <c r="G54">
        <v>0</v>
      </c>
      <c r="H54">
        <v>0</v>
      </c>
      <c r="I54" s="72">
        <f t="shared" si="0"/>
        <v>26.690734980996691</v>
      </c>
    </row>
    <row r="55" spans="1:10" x14ac:dyDescent="0.3">
      <c r="A55">
        <v>2019</v>
      </c>
      <c r="B55">
        <v>1</v>
      </c>
      <c r="C55">
        <v>31</v>
      </c>
      <c r="D55">
        <v>2019.085</v>
      </c>
      <c r="E55">
        <v>23.830970509533</v>
      </c>
      <c r="F55">
        <v>3.4990398610362301</v>
      </c>
      <c r="G55">
        <v>0</v>
      </c>
      <c r="H55">
        <v>0</v>
      </c>
      <c r="I55" s="72">
        <f t="shared" si="0"/>
        <v>27.33001037056923</v>
      </c>
    </row>
    <row r="56" spans="1:10" x14ac:dyDescent="0.3">
      <c r="A56">
        <v>2019</v>
      </c>
      <c r="B56">
        <v>2</v>
      </c>
      <c r="C56">
        <v>28</v>
      </c>
      <c r="D56">
        <v>2019.162</v>
      </c>
      <c r="E56">
        <v>24.298808516482499</v>
      </c>
      <c r="F56">
        <v>3.6067545161130199</v>
      </c>
      <c r="G56">
        <v>0</v>
      </c>
      <c r="H56">
        <v>0</v>
      </c>
      <c r="I56" s="72">
        <f t="shared" si="0"/>
        <v>27.90556303259552</v>
      </c>
    </row>
    <row r="57" spans="1:10" x14ac:dyDescent="0.3">
      <c r="A57">
        <v>2019</v>
      </c>
      <c r="B57">
        <v>3</v>
      </c>
      <c r="C57">
        <v>31</v>
      </c>
      <c r="D57">
        <v>2019.2470000000001</v>
      </c>
      <c r="E57">
        <v>24.809398020355601</v>
      </c>
      <c r="F57">
        <v>3.7292962806782199</v>
      </c>
      <c r="G57">
        <v>0</v>
      </c>
      <c r="H57">
        <v>0</v>
      </c>
      <c r="I57" s="72">
        <f t="shared" si="0"/>
        <v>28.538694301033821</v>
      </c>
    </row>
    <row r="58" spans="1:10" x14ac:dyDescent="0.3">
      <c r="A58">
        <v>2019</v>
      </c>
      <c r="B58">
        <v>4</v>
      </c>
      <c r="C58">
        <v>30</v>
      </c>
      <c r="D58">
        <v>2019.329</v>
      </c>
      <c r="E58">
        <v>25.3001313660444</v>
      </c>
      <c r="F58">
        <v>3.8528551186212301</v>
      </c>
      <c r="G58">
        <v>0</v>
      </c>
      <c r="H58">
        <v>0</v>
      </c>
      <c r="I58" s="72">
        <f t="shared" si="0"/>
        <v>29.152986484665632</v>
      </c>
    </row>
    <row r="59" spans="1:10" x14ac:dyDescent="0.3">
      <c r="A59">
        <v>2019</v>
      </c>
      <c r="B59">
        <v>5</v>
      </c>
      <c r="C59">
        <v>31</v>
      </c>
      <c r="D59">
        <v>2019.414</v>
      </c>
      <c r="E59">
        <v>25.803943948230799</v>
      </c>
      <c r="F59">
        <v>3.9787401533647202</v>
      </c>
      <c r="G59">
        <v>0</v>
      </c>
      <c r="H59">
        <v>0</v>
      </c>
      <c r="I59" s="72">
        <f t="shared" si="0"/>
        <v>29.782684101595521</v>
      </c>
    </row>
    <row r="60" spans="1:10" x14ac:dyDescent="0.3">
      <c r="A60">
        <v>2019</v>
      </c>
      <c r="B60">
        <v>6</v>
      </c>
      <c r="C60">
        <v>30</v>
      </c>
      <c r="D60">
        <v>2019.4960000000001</v>
      </c>
      <c r="E60">
        <v>26.2882629012454</v>
      </c>
      <c r="F60">
        <v>4.1183094617787699</v>
      </c>
      <c r="G60">
        <v>0</v>
      </c>
      <c r="H60">
        <v>0</v>
      </c>
      <c r="I60" s="106">
        <f t="shared" si="0"/>
        <v>30.406572363024168</v>
      </c>
      <c r="J60" s="11">
        <v>23.864990918147438</v>
      </c>
    </row>
    <row r="61" spans="1:10" x14ac:dyDescent="0.3">
      <c r="A61">
        <v>2019</v>
      </c>
      <c r="B61">
        <v>7</v>
      </c>
      <c r="C61">
        <v>31</v>
      </c>
      <c r="D61">
        <v>2019.5809999999999</v>
      </c>
      <c r="E61">
        <v>26.543237364598301</v>
      </c>
      <c r="F61">
        <v>4.26449717445439</v>
      </c>
      <c r="G61">
        <v>0</v>
      </c>
      <c r="H61">
        <v>0</v>
      </c>
      <c r="I61" s="72">
        <f t="shared" si="0"/>
        <v>30.807734539052692</v>
      </c>
    </row>
    <row r="62" spans="1:10" x14ac:dyDescent="0.3">
      <c r="A62">
        <v>2019</v>
      </c>
      <c r="B62">
        <v>8</v>
      </c>
      <c r="C62">
        <v>31</v>
      </c>
      <c r="D62">
        <v>2019.6659999999999</v>
      </c>
      <c r="E62">
        <v>27.034506953394601</v>
      </c>
      <c r="F62">
        <v>4.4183234342482596</v>
      </c>
      <c r="G62">
        <v>0</v>
      </c>
      <c r="H62">
        <v>0</v>
      </c>
      <c r="I62" s="72">
        <f t="shared" si="0"/>
        <v>31.452830387642862</v>
      </c>
    </row>
    <row r="63" spans="1:10" x14ac:dyDescent="0.3">
      <c r="A63">
        <v>2019</v>
      </c>
      <c r="B63">
        <v>9</v>
      </c>
      <c r="C63">
        <v>30</v>
      </c>
      <c r="D63">
        <v>2019.748</v>
      </c>
      <c r="E63">
        <v>27.509857488958701</v>
      </c>
      <c r="F63">
        <v>4.5610790132562</v>
      </c>
      <c r="G63">
        <v>0</v>
      </c>
      <c r="H63">
        <v>0</v>
      </c>
      <c r="I63" s="72">
        <f t="shared" si="0"/>
        <v>32.070936502214899</v>
      </c>
    </row>
    <row r="64" spans="1:10" x14ac:dyDescent="0.3">
      <c r="A64">
        <v>2019</v>
      </c>
      <c r="B64">
        <v>10</v>
      </c>
      <c r="C64">
        <v>31</v>
      </c>
      <c r="D64">
        <v>2019.8330000000001</v>
      </c>
      <c r="E64">
        <v>27.996846773423702</v>
      </c>
      <c r="F64">
        <v>4.6742859950476898</v>
      </c>
      <c r="G64">
        <v>0</v>
      </c>
      <c r="H64">
        <v>0</v>
      </c>
      <c r="I64" s="72">
        <f t="shared" si="0"/>
        <v>32.671132768471395</v>
      </c>
    </row>
    <row r="65" spans="1:9" x14ac:dyDescent="0.3">
      <c r="A65">
        <v>2019</v>
      </c>
      <c r="B65">
        <v>11</v>
      </c>
      <c r="C65">
        <v>30</v>
      </c>
      <c r="D65">
        <v>2019.915</v>
      </c>
      <c r="E65">
        <v>28.4646669766082</v>
      </c>
      <c r="F65">
        <v>4.7784349643652897</v>
      </c>
      <c r="G65">
        <v>0</v>
      </c>
      <c r="H65">
        <v>0</v>
      </c>
      <c r="I65" s="72">
        <f t="shared" si="0"/>
        <v>33.243101940973489</v>
      </c>
    </row>
    <row r="66" spans="1:9" x14ac:dyDescent="0.3">
      <c r="A66">
        <v>2019</v>
      </c>
      <c r="B66">
        <v>12</v>
      </c>
      <c r="C66">
        <v>31</v>
      </c>
      <c r="D66">
        <v>2020</v>
      </c>
      <c r="E66">
        <v>28.944470871560501</v>
      </c>
      <c r="F66">
        <v>4.8828119832139301</v>
      </c>
      <c r="G66">
        <v>0</v>
      </c>
      <c r="H66">
        <v>0</v>
      </c>
      <c r="I66" s="72">
        <f t="shared" si="0"/>
        <v>33.827282854774431</v>
      </c>
    </row>
    <row r="67" spans="1:9" x14ac:dyDescent="0.3">
      <c r="A67">
        <v>2020</v>
      </c>
      <c r="B67">
        <v>1</v>
      </c>
      <c r="C67">
        <v>31</v>
      </c>
      <c r="D67">
        <v>2020.085</v>
      </c>
      <c r="E67">
        <v>29.420574820291499</v>
      </c>
      <c r="F67">
        <v>4.9863004494580396</v>
      </c>
      <c r="G67">
        <v>0</v>
      </c>
      <c r="H67">
        <v>0</v>
      </c>
      <c r="I67" s="72">
        <f t="shared" si="0"/>
        <v>34.406875269749541</v>
      </c>
    </row>
    <row r="68" spans="1:9" x14ac:dyDescent="0.3">
      <c r="A68">
        <v>2020</v>
      </c>
      <c r="B68">
        <v>2</v>
      </c>
      <c r="C68">
        <v>29</v>
      </c>
      <c r="D68">
        <v>2020.164</v>
      </c>
      <c r="E68">
        <v>29.8625899446087</v>
      </c>
      <c r="F68">
        <v>5.08318148047249</v>
      </c>
      <c r="G68">
        <v>0</v>
      </c>
      <c r="H68">
        <v>0</v>
      </c>
      <c r="I68" s="72">
        <f t="shared" si="0"/>
        <v>34.94577142508119</v>
      </c>
    </row>
    <row r="69" spans="1:9" x14ac:dyDescent="0.3">
      <c r="A69">
        <v>2020</v>
      </c>
      <c r="B69">
        <v>3</v>
      </c>
      <c r="C69">
        <v>31</v>
      </c>
      <c r="D69">
        <v>2020.249</v>
      </c>
      <c r="E69">
        <v>30.330971691920901</v>
      </c>
      <c r="F69">
        <v>5.1914457851633404</v>
      </c>
      <c r="G69">
        <v>0</v>
      </c>
      <c r="H69">
        <v>0</v>
      </c>
      <c r="I69" s="72">
        <f t="shared" si="0"/>
        <v>35.52241747708424</v>
      </c>
    </row>
    <row r="70" spans="1:9" x14ac:dyDescent="0.3">
      <c r="A70">
        <v>2020</v>
      </c>
      <c r="B70">
        <v>4</v>
      </c>
      <c r="C70">
        <v>30</v>
      </c>
      <c r="D70">
        <v>2020.3309999999999</v>
      </c>
      <c r="E70">
        <v>30.780160023048602</v>
      </c>
      <c r="F70">
        <v>5.3026778702657698</v>
      </c>
      <c r="G70">
        <v>0</v>
      </c>
      <c r="H70">
        <v>0</v>
      </c>
      <c r="I70" s="72">
        <f t="shared" si="0"/>
        <v>36.08283789331437</v>
      </c>
    </row>
    <row r="71" spans="1:9" x14ac:dyDescent="0.3">
      <c r="A71">
        <v>2020</v>
      </c>
      <c r="B71">
        <v>5</v>
      </c>
      <c r="C71">
        <v>31</v>
      </c>
      <c r="D71">
        <v>2020.415</v>
      </c>
      <c r="E71">
        <v>31.240615467193901</v>
      </c>
      <c r="F71">
        <v>5.4177282798179203</v>
      </c>
      <c r="G71">
        <v>0</v>
      </c>
      <c r="H71">
        <v>0</v>
      </c>
      <c r="I71" s="72">
        <f t="shared" si="0"/>
        <v>36.65834374701182</v>
      </c>
    </row>
    <row r="72" spans="1:9" x14ac:dyDescent="0.3">
      <c r="A72">
        <v>2020</v>
      </c>
      <c r="B72">
        <v>6</v>
      </c>
      <c r="C72">
        <v>30</v>
      </c>
      <c r="D72">
        <v>2020.4970000000001</v>
      </c>
      <c r="E72">
        <v>31.682622823333599</v>
      </c>
      <c r="F72">
        <v>5.5502860937837699</v>
      </c>
      <c r="G72">
        <v>0</v>
      </c>
      <c r="H72">
        <v>0</v>
      </c>
      <c r="I72" s="106">
        <f t="shared" si="0"/>
        <v>37.232908917117371</v>
      </c>
    </row>
    <row r="73" spans="1:9" x14ac:dyDescent="0.3">
      <c r="A73">
        <v>2020</v>
      </c>
      <c r="B73">
        <v>7</v>
      </c>
      <c r="C73">
        <v>31</v>
      </c>
      <c r="D73">
        <v>2020.5820000000001</v>
      </c>
      <c r="E73">
        <v>32.351677760604503</v>
      </c>
      <c r="F73">
        <v>5.69319497975897</v>
      </c>
      <c r="G73">
        <v>0</v>
      </c>
      <c r="H73">
        <v>0</v>
      </c>
      <c r="I73" s="72">
        <f t="shared" si="0"/>
        <v>38.044872740363473</v>
      </c>
    </row>
    <row r="74" spans="1:9" x14ac:dyDescent="0.3">
      <c r="A74">
        <v>2020</v>
      </c>
      <c r="B74">
        <v>8</v>
      </c>
      <c r="C74">
        <v>31</v>
      </c>
      <c r="D74">
        <v>2020.6669999999999</v>
      </c>
      <c r="E74">
        <v>32.799100498547098</v>
      </c>
      <c r="F74">
        <v>5.8452705983812896</v>
      </c>
      <c r="G74">
        <v>0</v>
      </c>
      <c r="H74">
        <v>0</v>
      </c>
      <c r="I74" s="72">
        <f t="shared" si="0"/>
        <v>38.644371096928388</v>
      </c>
    </row>
    <row r="75" spans="1:9" x14ac:dyDescent="0.3">
      <c r="A75">
        <v>2020</v>
      </c>
      <c r="B75">
        <v>9</v>
      </c>
      <c r="C75">
        <v>30</v>
      </c>
      <c r="D75">
        <v>2020.749</v>
      </c>
      <c r="E75">
        <v>33.227686736784101</v>
      </c>
      <c r="F75">
        <v>5.9827953869982897</v>
      </c>
      <c r="G75">
        <v>0</v>
      </c>
      <c r="H75">
        <v>0</v>
      </c>
      <c r="I75" s="72">
        <f t="shared" ref="I75:I138" si="4">E75+F75</f>
        <v>39.210482123782391</v>
      </c>
    </row>
    <row r="76" spans="1:9" x14ac:dyDescent="0.3">
      <c r="A76">
        <v>2020</v>
      </c>
      <c r="B76">
        <v>10</v>
      </c>
      <c r="C76">
        <v>31</v>
      </c>
      <c r="D76">
        <v>2020.8330000000001</v>
      </c>
      <c r="E76">
        <v>33.666850780445799</v>
      </c>
      <c r="F76">
        <v>6.0851622674641801</v>
      </c>
      <c r="G76">
        <v>0</v>
      </c>
      <c r="H76">
        <v>0</v>
      </c>
      <c r="I76" s="72">
        <f t="shared" si="4"/>
        <v>39.752013047909976</v>
      </c>
    </row>
    <row r="77" spans="1:9" x14ac:dyDescent="0.3">
      <c r="A77">
        <v>2020</v>
      </c>
      <c r="B77">
        <v>11</v>
      </c>
      <c r="C77">
        <v>30</v>
      </c>
      <c r="D77">
        <v>2020.915</v>
      </c>
      <c r="E77">
        <v>34.088266243607997</v>
      </c>
      <c r="F77">
        <v>6.1753523840695603</v>
      </c>
      <c r="G77">
        <v>0</v>
      </c>
      <c r="H77">
        <v>0</v>
      </c>
      <c r="I77" s="72">
        <f t="shared" si="4"/>
        <v>40.263618627677559</v>
      </c>
    </row>
    <row r="78" spans="1:9" x14ac:dyDescent="0.3">
      <c r="A78">
        <v>2020</v>
      </c>
      <c r="B78">
        <v>12</v>
      </c>
      <c r="C78">
        <v>31</v>
      </c>
      <c r="D78">
        <v>2021</v>
      </c>
      <c r="E78">
        <v>34.520036794364202</v>
      </c>
      <c r="F78">
        <v>6.2648942990542897</v>
      </c>
      <c r="G78">
        <v>0</v>
      </c>
      <c r="H78">
        <v>0</v>
      </c>
      <c r="I78" s="72">
        <f t="shared" si="4"/>
        <v>40.784931093418493</v>
      </c>
    </row>
    <row r="79" spans="1:9" x14ac:dyDescent="0.3">
      <c r="A79">
        <v>2021</v>
      </c>
      <c r="B79">
        <v>1</v>
      </c>
      <c r="C79">
        <v>31</v>
      </c>
      <c r="D79">
        <v>2021.085</v>
      </c>
      <c r="E79">
        <v>34.948066283733397</v>
      </c>
      <c r="F79">
        <v>6.3536024058849296</v>
      </c>
      <c r="G79">
        <v>0</v>
      </c>
      <c r="H79">
        <v>0</v>
      </c>
      <c r="I79" s="72">
        <f t="shared" si="4"/>
        <v>41.301668689618324</v>
      </c>
    </row>
    <row r="80" spans="1:9" x14ac:dyDescent="0.3">
      <c r="A80">
        <v>2021</v>
      </c>
      <c r="B80">
        <v>2</v>
      </c>
      <c r="C80">
        <v>28</v>
      </c>
      <c r="D80">
        <v>2021.162</v>
      </c>
      <c r="E80">
        <v>35.331469354192997</v>
      </c>
      <c r="F80">
        <v>6.4340970461799598</v>
      </c>
      <c r="G80">
        <v>0</v>
      </c>
      <c r="H80">
        <v>0</v>
      </c>
      <c r="I80" s="72">
        <f t="shared" si="4"/>
        <v>41.765566400372954</v>
      </c>
    </row>
    <row r="81" spans="1:9" x14ac:dyDescent="0.3">
      <c r="A81">
        <v>2021</v>
      </c>
      <c r="B81">
        <v>3</v>
      </c>
      <c r="C81">
        <v>31</v>
      </c>
      <c r="D81">
        <v>2021.2470000000001</v>
      </c>
      <c r="E81">
        <v>35.751777134007298</v>
      </c>
      <c r="F81">
        <v>6.5293297387362603</v>
      </c>
      <c r="G81">
        <v>0</v>
      </c>
      <c r="H81">
        <v>0</v>
      </c>
      <c r="I81" s="72">
        <f t="shared" si="4"/>
        <v>42.281106872743557</v>
      </c>
    </row>
    <row r="82" spans="1:9" x14ac:dyDescent="0.3">
      <c r="A82">
        <v>2021</v>
      </c>
      <c r="B82">
        <v>4</v>
      </c>
      <c r="C82">
        <v>30</v>
      </c>
      <c r="D82">
        <v>2021.329</v>
      </c>
      <c r="E82">
        <v>36.1549695757489</v>
      </c>
      <c r="F82">
        <v>6.6299292006245798</v>
      </c>
      <c r="G82">
        <v>0</v>
      </c>
      <c r="H82">
        <v>0</v>
      </c>
      <c r="I82" s="72">
        <f t="shared" si="4"/>
        <v>42.784898776373481</v>
      </c>
    </row>
    <row r="83" spans="1:9" x14ac:dyDescent="0.3">
      <c r="A83">
        <v>2021</v>
      </c>
      <c r="B83">
        <v>5</v>
      </c>
      <c r="C83">
        <v>31</v>
      </c>
      <c r="D83">
        <v>2021.414</v>
      </c>
      <c r="E83">
        <v>36.567988540491903</v>
      </c>
      <c r="F83">
        <v>6.7340549766361697</v>
      </c>
      <c r="G83">
        <v>0</v>
      </c>
      <c r="H83">
        <v>0</v>
      </c>
      <c r="I83" s="72">
        <f t="shared" si="4"/>
        <v>43.30204351712807</v>
      </c>
    </row>
    <row r="84" spans="1:9" x14ac:dyDescent="0.3">
      <c r="A84">
        <v>2021</v>
      </c>
      <c r="B84">
        <v>6</v>
      </c>
      <c r="C84">
        <v>30</v>
      </c>
      <c r="D84">
        <v>2021.4960000000001</v>
      </c>
      <c r="E84">
        <v>36.9642061468425</v>
      </c>
      <c r="F84">
        <v>6.8613146381619696</v>
      </c>
      <c r="G84">
        <v>0</v>
      </c>
      <c r="H84">
        <v>0</v>
      </c>
      <c r="I84" s="106">
        <f t="shared" si="4"/>
        <v>43.825520785004471</v>
      </c>
    </row>
    <row r="85" spans="1:9" x14ac:dyDescent="0.3">
      <c r="A85">
        <v>2021</v>
      </c>
      <c r="B85">
        <v>7</v>
      </c>
      <c r="C85">
        <v>31</v>
      </c>
      <c r="D85">
        <v>2021.5809999999999</v>
      </c>
      <c r="E85">
        <v>37.175766217636898</v>
      </c>
      <c r="F85">
        <v>6.9992406276244798</v>
      </c>
      <c r="G85">
        <v>0</v>
      </c>
      <c r="H85">
        <v>0</v>
      </c>
      <c r="I85" s="72">
        <f t="shared" si="4"/>
        <v>44.175006845261379</v>
      </c>
    </row>
    <row r="86" spans="1:9" x14ac:dyDescent="0.3">
      <c r="A86">
        <v>2021</v>
      </c>
      <c r="B86">
        <v>8</v>
      </c>
      <c r="C86">
        <v>31</v>
      </c>
      <c r="D86">
        <v>2021.6659999999999</v>
      </c>
      <c r="E86">
        <v>37.378202757146099</v>
      </c>
      <c r="F86">
        <v>7.1473294956540601</v>
      </c>
      <c r="G86">
        <v>0</v>
      </c>
      <c r="H86">
        <v>0</v>
      </c>
      <c r="I86" s="72">
        <f t="shared" si="4"/>
        <v>44.525532252800161</v>
      </c>
    </row>
    <row r="87" spans="1:9" x14ac:dyDescent="0.3">
      <c r="A87">
        <v>2021</v>
      </c>
      <c r="B87">
        <v>9</v>
      </c>
      <c r="C87">
        <v>30</v>
      </c>
      <c r="D87">
        <v>2021.748</v>
      </c>
      <c r="E87">
        <v>37.764224555737698</v>
      </c>
      <c r="F87">
        <v>7.2792119398753101</v>
      </c>
      <c r="G87">
        <v>0</v>
      </c>
      <c r="H87">
        <v>0</v>
      </c>
      <c r="I87" s="72">
        <f t="shared" si="4"/>
        <v>45.043436495613008</v>
      </c>
    </row>
    <row r="88" spans="1:9" x14ac:dyDescent="0.3">
      <c r="A88">
        <v>2021</v>
      </c>
      <c r="B88">
        <v>10</v>
      </c>
      <c r="C88">
        <v>31</v>
      </c>
      <c r="D88">
        <v>2021.8330000000001</v>
      </c>
      <c r="E88">
        <v>38.162399876215197</v>
      </c>
      <c r="F88">
        <v>7.36705961262152</v>
      </c>
      <c r="G88">
        <v>0</v>
      </c>
      <c r="H88">
        <v>0</v>
      </c>
      <c r="I88" s="72">
        <f t="shared" si="4"/>
        <v>45.529459488836714</v>
      </c>
    </row>
    <row r="89" spans="1:9" x14ac:dyDescent="0.3">
      <c r="A89">
        <v>2021</v>
      </c>
      <c r="B89">
        <v>11</v>
      </c>
      <c r="C89">
        <v>30</v>
      </c>
      <c r="D89">
        <v>2021.915</v>
      </c>
      <c r="E89">
        <v>38.544325286529798</v>
      </c>
      <c r="F89">
        <v>7.4416424668111398</v>
      </c>
      <c r="G89">
        <v>0</v>
      </c>
      <c r="H89">
        <v>0</v>
      </c>
      <c r="I89" s="72">
        <f t="shared" si="4"/>
        <v>45.985967753340937</v>
      </c>
    </row>
    <row r="90" spans="1:9" x14ac:dyDescent="0.3">
      <c r="A90">
        <v>2021</v>
      </c>
      <c r="B90">
        <v>12</v>
      </c>
      <c r="C90">
        <v>31</v>
      </c>
      <c r="D90">
        <v>2022</v>
      </c>
      <c r="E90">
        <v>38.935505446527102</v>
      </c>
      <c r="F90">
        <v>7.5147015605023801</v>
      </c>
      <c r="G90">
        <v>0</v>
      </c>
      <c r="H90">
        <v>0</v>
      </c>
      <c r="I90" s="72">
        <f t="shared" si="4"/>
        <v>46.450207007029483</v>
      </c>
    </row>
    <row r="91" spans="1:9" x14ac:dyDescent="0.3">
      <c r="A91">
        <v>2022</v>
      </c>
      <c r="B91">
        <v>1</v>
      </c>
      <c r="C91">
        <v>31</v>
      </c>
      <c r="D91">
        <v>2022.085</v>
      </c>
      <c r="E91">
        <v>39.323178216911103</v>
      </c>
      <c r="F91">
        <v>7.5871594718512396</v>
      </c>
      <c r="G91">
        <v>0</v>
      </c>
      <c r="H91">
        <v>0</v>
      </c>
      <c r="I91" s="72">
        <f t="shared" si="4"/>
        <v>46.91033768876234</v>
      </c>
    </row>
    <row r="92" spans="1:9" x14ac:dyDescent="0.3">
      <c r="A92">
        <v>2022</v>
      </c>
      <c r="B92">
        <v>2</v>
      </c>
      <c r="C92">
        <v>28</v>
      </c>
      <c r="D92">
        <v>2022.162</v>
      </c>
      <c r="E92">
        <v>39.670341776682697</v>
      </c>
      <c r="F92">
        <v>7.6533870452062196</v>
      </c>
      <c r="G92">
        <v>0</v>
      </c>
      <c r="H92">
        <v>0</v>
      </c>
      <c r="I92" s="72">
        <f t="shared" si="4"/>
        <v>47.32372882188892</v>
      </c>
    </row>
    <row r="93" spans="1:9" x14ac:dyDescent="0.3">
      <c r="A93">
        <v>2022</v>
      </c>
      <c r="B93">
        <v>3</v>
      </c>
      <c r="C93">
        <v>31</v>
      </c>
      <c r="D93">
        <v>2022.2470000000001</v>
      </c>
      <c r="E93">
        <v>40.051413462660399</v>
      </c>
      <c r="F93">
        <v>7.73423005770334</v>
      </c>
      <c r="G93">
        <v>0</v>
      </c>
      <c r="H93">
        <v>0</v>
      </c>
      <c r="I93" s="72">
        <f t="shared" si="4"/>
        <v>47.785643520363742</v>
      </c>
    </row>
    <row r="94" spans="1:9" x14ac:dyDescent="0.3">
      <c r="A94">
        <v>2022</v>
      </c>
      <c r="B94">
        <v>4</v>
      </c>
      <c r="C94">
        <v>30</v>
      </c>
      <c r="D94">
        <v>2022.329</v>
      </c>
      <c r="E94">
        <v>40.416496794192803</v>
      </c>
      <c r="F94">
        <v>7.8228009433998702</v>
      </c>
      <c r="G94">
        <v>0</v>
      </c>
      <c r="H94">
        <v>0</v>
      </c>
      <c r="I94" s="72">
        <f t="shared" si="4"/>
        <v>48.239297737592672</v>
      </c>
    </row>
    <row r="95" spans="1:9" x14ac:dyDescent="0.3">
      <c r="A95">
        <v>2022</v>
      </c>
      <c r="B95">
        <v>5</v>
      </c>
      <c r="C95">
        <v>31</v>
      </c>
      <c r="D95">
        <v>2022.414</v>
      </c>
      <c r="E95">
        <v>40.790376243511702</v>
      </c>
      <c r="F95">
        <v>7.9146655217240403</v>
      </c>
      <c r="G95">
        <v>0</v>
      </c>
      <c r="H95">
        <v>0</v>
      </c>
      <c r="I95" s="72">
        <f t="shared" si="4"/>
        <v>48.705041765235741</v>
      </c>
    </row>
    <row r="96" spans="1:9" x14ac:dyDescent="0.3">
      <c r="A96">
        <v>2022</v>
      </c>
      <c r="B96">
        <v>6</v>
      </c>
      <c r="C96">
        <v>30</v>
      </c>
      <c r="D96">
        <v>2022.4960000000001</v>
      </c>
      <c r="E96">
        <v>41.1489883113288</v>
      </c>
      <c r="F96">
        <v>8.0348055870123307</v>
      </c>
      <c r="G96">
        <v>0</v>
      </c>
      <c r="H96">
        <v>0</v>
      </c>
      <c r="I96" s="106">
        <f t="shared" si="4"/>
        <v>49.183793898341129</v>
      </c>
    </row>
    <row r="97" spans="1:9" x14ac:dyDescent="0.3">
      <c r="A97">
        <v>2022</v>
      </c>
      <c r="B97">
        <v>7</v>
      </c>
      <c r="C97">
        <v>31</v>
      </c>
      <c r="D97">
        <v>2022.5809999999999</v>
      </c>
      <c r="E97">
        <v>41.516268858729198</v>
      </c>
      <c r="F97">
        <v>8.1669208791115597</v>
      </c>
      <c r="G97">
        <v>0</v>
      </c>
      <c r="H97">
        <v>0</v>
      </c>
      <c r="I97" s="72">
        <f t="shared" si="4"/>
        <v>49.683189737840756</v>
      </c>
    </row>
    <row r="98" spans="1:9" x14ac:dyDescent="0.3">
      <c r="A98">
        <v>2022</v>
      </c>
      <c r="B98">
        <v>8</v>
      </c>
      <c r="C98">
        <v>31</v>
      </c>
      <c r="D98">
        <v>2022.6659999999999</v>
      </c>
      <c r="E98">
        <v>42.058083995921102</v>
      </c>
      <c r="F98">
        <v>8.3122610062528803</v>
      </c>
      <c r="G98">
        <v>0</v>
      </c>
      <c r="H98">
        <v>0</v>
      </c>
      <c r="I98" s="72">
        <f t="shared" si="4"/>
        <v>50.370345002173984</v>
      </c>
    </row>
    <row r="99" spans="1:9" x14ac:dyDescent="0.3">
      <c r="A99">
        <v>2022</v>
      </c>
      <c r="B99">
        <v>9</v>
      </c>
      <c r="C99">
        <v>30</v>
      </c>
      <c r="D99">
        <v>2022.748</v>
      </c>
      <c r="E99">
        <v>42.409781918323503</v>
      </c>
      <c r="F99">
        <v>8.4409199108579802</v>
      </c>
      <c r="G99">
        <v>0</v>
      </c>
      <c r="H99">
        <v>0</v>
      </c>
      <c r="I99" s="72">
        <f t="shared" si="4"/>
        <v>50.850701829181482</v>
      </c>
    </row>
    <row r="100" spans="1:9" x14ac:dyDescent="0.3">
      <c r="A100">
        <v>2022</v>
      </c>
      <c r="B100">
        <v>10</v>
      </c>
      <c r="C100">
        <v>31</v>
      </c>
      <c r="D100">
        <v>2022.8330000000001</v>
      </c>
      <c r="E100">
        <v>42.765298365295202</v>
      </c>
      <c r="F100">
        <v>8.5177044784585192</v>
      </c>
      <c r="G100">
        <v>0</v>
      </c>
      <c r="H100">
        <v>0</v>
      </c>
      <c r="I100" s="72">
        <f t="shared" si="4"/>
        <v>51.283002843753721</v>
      </c>
    </row>
    <row r="101" spans="1:9" x14ac:dyDescent="0.3">
      <c r="A101">
        <v>2022</v>
      </c>
      <c r="B101">
        <v>11</v>
      </c>
      <c r="C101">
        <v>30</v>
      </c>
      <c r="D101">
        <v>2022.915</v>
      </c>
      <c r="E101">
        <v>43.106297640681397</v>
      </c>
      <c r="F101">
        <v>8.5801422719661193</v>
      </c>
      <c r="G101">
        <v>0</v>
      </c>
      <c r="H101">
        <v>0</v>
      </c>
      <c r="I101" s="72">
        <f t="shared" si="4"/>
        <v>51.686439912647515</v>
      </c>
    </row>
    <row r="102" spans="1:9" x14ac:dyDescent="0.3">
      <c r="A102">
        <v>2022</v>
      </c>
      <c r="B102">
        <v>12</v>
      </c>
      <c r="C102">
        <v>31</v>
      </c>
      <c r="D102">
        <v>2023</v>
      </c>
      <c r="E102">
        <v>43.455542670686199</v>
      </c>
      <c r="F102">
        <v>8.6402690937145898</v>
      </c>
      <c r="G102">
        <v>0</v>
      </c>
      <c r="H102">
        <v>0</v>
      </c>
      <c r="I102" s="72">
        <f t="shared" si="4"/>
        <v>52.095811764400793</v>
      </c>
    </row>
    <row r="103" spans="1:9" x14ac:dyDescent="0.3">
      <c r="A103">
        <v>2023</v>
      </c>
      <c r="B103">
        <v>1</v>
      </c>
      <c r="C103">
        <v>31</v>
      </c>
      <c r="D103">
        <v>2023.085</v>
      </c>
      <c r="E103">
        <v>43.801645887713597</v>
      </c>
      <c r="F103">
        <v>8.6999334744551398</v>
      </c>
      <c r="G103">
        <v>0</v>
      </c>
      <c r="H103">
        <v>0</v>
      </c>
      <c r="I103" s="72">
        <f t="shared" si="4"/>
        <v>52.501579362168741</v>
      </c>
    </row>
    <row r="104" spans="1:9" x14ac:dyDescent="0.3">
      <c r="A104">
        <v>2023</v>
      </c>
      <c r="B104">
        <v>2</v>
      </c>
      <c r="C104">
        <v>28</v>
      </c>
      <c r="D104">
        <v>2023.162</v>
      </c>
      <c r="E104">
        <v>44.111580277889601</v>
      </c>
      <c r="F104">
        <v>8.7549144878542808</v>
      </c>
      <c r="G104">
        <v>0</v>
      </c>
      <c r="H104">
        <v>0</v>
      </c>
      <c r="I104" s="72">
        <f t="shared" si="4"/>
        <v>52.86649476574388</v>
      </c>
    </row>
    <row r="105" spans="1:9" x14ac:dyDescent="0.3">
      <c r="A105">
        <v>2023</v>
      </c>
      <c r="B105">
        <v>3</v>
      </c>
      <c r="C105">
        <v>31</v>
      </c>
      <c r="D105">
        <v>2023.2470000000001</v>
      </c>
      <c r="E105">
        <v>44.451633662412398</v>
      </c>
      <c r="F105">
        <v>8.8244800857221506</v>
      </c>
      <c r="G105">
        <v>0</v>
      </c>
      <c r="H105">
        <v>0</v>
      </c>
      <c r="I105" s="72">
        <f t="shared" si="4"/>
        <v>53.276113748134549</v>
      </c>
    </row>
    <row r="106" spans="1:9" x14ac:dyDescent="0.3">
      <c r="A106">
        <v>2023</v>
      </c>
      <c r="B106">
        <v>4</v>
      </c>
      <c r="C106">
        <v>30</v>
      </c>
      <c r="D106">
        <v>2023.329</v>
      </c>
      <c r="E106">
        <v>44.777630680711098</v>
      </c>
      <c r="F106">
        <v>8.9037439817539603</v>
      </c>
      <c r="G106">
        <v>0</v>
      </c>
      <c r="H106">
        <v>0</v>
      </c>
      <c r="I106" s="72">
        <f t="shared" si="4"/>
        <v>53.681374662465061</v>
      </c>
    </row>
    <row r="107" spans="1:9" x14ac:dyDescent="0.3">
      <c r="A107">
        <v>2023</v>
      </c>
      <c r="B107">
        <v>5</v>
      </c>
      <c r="C107">
        <v>31</v>
      </c>
      <c r="D107">
        <v>2023.414</v>
      </c>
      <c r="E107">
        <v>45.1115233295601</v>
      </c>
      <c r="F107">
        <v>8.9860899665224494</v>
      </c>
      <c r="G107">
        <v>0</v>
      </c>
      <c r="H107">
        <v>0</v>
      </c>
      <c r="I107" s="72">
        <f t="shared" si="4"/>
        <v>54.09761329608255</v>
      </c>
    </row>
    <row r="108" spans="1:9" x14ac:dyDescent="0.3">
      <c r="A108">
        <v>2023</v>
      </c>
      <c r="B108">
        <v>6</v>
      </c>
      <c r="C108">
        <v>30</v>
      </c>
      <c r="D108">
        <v>2023.4960000000001</v>
      </c>
      <c r="E108">
        <v>45.431798696769597</v>
      </c>
      <c r="F108">
        <v>9.1012172629334493</v>
      </c>
      <c r="G108">
        <v>0</v>
      </c>
      <c r="H108">
        <v>0</v>
      </c>
      <c r="I108" s="106">
        <f t="shared" si="4"/>
        <v>54.53301595970305</v>
      </c>
    </row>
    <row r="109" spans="1:9" x14ac:dyDescent="0.3">
      <c r="A109">
        <v>2023</v>
      </c>
      <c r="B109">
        <v>7</v>
      </c>
      <c r="C109">
        <v>31</v>
      </c>
      <c r="D109">
        <v>2023.5809999999999</v>
      </c>
      <c r="E109">
        <v>45.759838247590103</v>
      </c>
      <c r="F109">
        <v>9.2291850819608801</v>
      </c>
      <c r="G109">
        <v>0</v>
      </c>
      <c r="H109">
        <v>0</v>
      </c>
      <c r="I109" s="72">
        <f t="shared" si="4"/>
        <v>54.989023329550982</v>
      </c>
    </row>
    <row r="110" spans="1:9" x14ac:dyDescent="0.3">
      <c r="A110">
        <v>2023</v>
      </c>
      <c r="B110">
        <v>8</v>
      </c>
      <c r="C110">
        <v>31</v>
      </c>
      <c r="D110">
        <v>2023.6659999999999</v>
      </c>
      <c r="E110">
        <v>46.086253634238602</v>
      </c>
      <c r="F110">
        <v>9.3718212483883896</v>
      </c>
      <c r="G110">
        <v>0</v>
      </c>
      <c r="H110">
        <v>0</v>
      </c>
      <c r="I110" s="72">
        <f t="shared" si="4"/>
        <v>55.458074882626988</v>
      </c>
    </row>
    <row r="111" spans="1:9" x14ac:dyDescent="0.3">
      <c r="A111">
        <v>2023</v>
      </c>
      <c r="B111">
        <v>9</v>
      </c>
      <c r="C111">
        <v>30</v>
      </c>
      <c r="D111">
        <v>2023.748</v>
      </c>
      <c r="E111">
        <v>46.397972555480699</v>
      </c>
      <c r="F111">
        <v>9.4964115394506692</v>
      </c>
      <c r="G111">
        <v>0</v>
      </c>
      <c r="H111">
        <v>0</v>
      </c>
      <c r="I111" s="72">
        <f t="shared" si="4"/>
        <v>55.894384094931368</v>
      </c>
    </row>
    <row r="112" spans="1:9" x14ac:dyDescent="0.3">
      <c r="A112">
        <v>2023</v>
      </c>
      <c r="B112">
        <v>10</v>
      </c>
      <c r="C112">
        <v>31</v>
      </c>
      <c r="D112">
        <v>2023.8330000000001</v>
      </c>
      <c r="E112">
        <v>46.717104917232099</v>
      </c>
      <c r="F112">
        <v>9.5621278338023092</v>
      </c>
      <c r="G112">
        <v>0</v>
      </c>
      <c r="H112">
        <v>0</v>
      </c>
      <c r="I112" s="72">
        <f t="shared" si="4"/>
        <v>56.279232751034407</v>
      </c>
    </row>
    <row r="113" spans="1:9" x14ac:dyDescent="0.3">
      <c r="A113">
        <v>2023</v>
      </c>
      <c r="B113">
        <v>11</v>
      </c>
      <c r="C113">
        <v>30</v>
      </c>
      <c r="D113">
        <v>2023.915</v>
      </c>
      <c r="E113">
        <v>47.023241610134498</v>
      </c>
      <c r="F113">
        <v>9.6126251432507104</v>
      </c>
      <c r="G113">
        <v>0</v>
      </c>
      <c r="H113">
        <v>0</v>
      </c>
      <c r="I113" s="72">
        <f t="shared" si="4"/>
        <v>56.635866753385208</v>
      </c>
    </row>
    <row r="114" spans="1:9" x14ac:dyDescent="0.3">
      <c r="A114">
        <v>2023</v>
      </c>
      <c r="B114">
        <v>12</v>
      </c>
      <c r="C114">
        <v>31</v>
      </c>
      <c r="D114">
        <v>2024</v>
      </c>
      <c r="E114">
        <v>47.336820963875503</v>
      </c>
      <c r="F114">
        <v>9.6601314561638105</v>
      </c>
      <c r="G114">
        <v>0</v>
      </c>
      <c r="H114">
        <v>0</v>
      </c>
      <c r="I114" s="72">
        <f t="shared" si="4"/>
        <v>56.996952420039314</v>
      </c>
    </row>
    <row r="115" spans="1:9" x14ac:dyDescent="0.3">
      <c r="A115">
        <v>2024</v>
      </c>
      <c r="B115">
        <v>1</v>
      </c>
      <c r="C115">
        <v>31</v>
      </c>
      <c r="D115">
        <v>2024.085</v>
      </c>
      <c r="E115">
        <v>47.6476226859862</v>
      </c>
      <c r="F115">
        <v>9.7073575663054008</v>
      </c>
      <c r="G115">
        <v>0</v>
      </c>
      <c r="H115">
        <v>0</v>
      </c>
      <c r="I115" s="72">
        <f t="shared" si="4"/>
        <v>57.354980252291597</v>
      </c>
    </row>
    <row r="116" spans="1:9" x14ac:dyDescent="0.3">
      <c r="A116">
        <v>2024</v>
      </c>
      <c r="B116">
        <v>2</v>
      </c>
      <c r="C116">
        <v>29</v>
      </c>
      <c r="D116">
        <v>2024.164</v>
      </c>
      <c r="E116">
        <v>47.935884380216898</v>
      </c>
      <c r="F116">
        <v>9.7535288935725699</v>
      </c>
      <c r="G116">
        <v>0</v>
      </c>
      <c r="H116">
        <v>0</v>
      </c>
      <c r="I116" s="72">
        <f t="shared" si="4"/>
        <v>57.689413273789469</v>
      </c>
    </row>
    <row r="117" spans="1:9" x14ac:dyDescent="0.3">
      <c r="A117">
        <v>2024</v>
      </c>
      <c r="B117">
        <v>3</v>
      </c>
      <c r="C117">
        <v>31</v>
      </c>
      <c r="D117">
        <v>2024.249</v>
      </c>
      <c r="E117">
        <v>48.241272302311501</v>
      </c>
      <c r="F117">
        <v>9.8125276645334107</v>
      </c>
      <c r="G117">
        <v>0</v>
      </c>
      <c r="H117">
        <v>0</v>
      </c>
      <c r="I117" s="72">
        <f t="shared" si="4"/>
        <v>58.053799966844913</v>
      </c>
    </row>
    <row r="118" spans="1:9" x14ac:dyDescent="0.3">
      <c r="A118">
        <v>2024</v>
      </c>
      <c r="B118">
        <v>4</v>
      </c>
      <c r="C118">
        <v>30</v>
      </c>
      <c r="D118">
        <v>2024.3309999999999</v>
      </c>
      <c r="E118">
        <v>48.534122212693198</v>
      </c>
      <c r="F118">
        <v>9.8823905303093902</v>
      </c>
      <c r="G118">
        <v>0</v>
      </c>
      <c r="H118">
        <v>0</v>
      </c>
      <c r="I118" s="72">
        <f t="shared" si="4"/>
        <v>58.416512743002585</v>
      </c>
    </row>
    <row r="119" spans="1:9" x14ac:dyDescent="0.3">
      <c r="A119">
        <v>2024</v>
      </c>
      <c r="B119">
        <v>5</v>
      </c>
      <c r="C119">
        <v>31</v>
      </c>
      <c r="D119">
        <v>2024.415</v>
      </c>
      <c r="E119">
        <v>48.8341163998737</v>
      </c>
      <c r="F119">
        <v>9.9572795188188596</v>
      </c>
      <c r="G119">
        <v>0</v>
      </c>
      <c r="H119">
        <v>0</v>
      </c>
      <c r="I119" s="72">
        <f t="shared" si="4"/>
        <v>58.791395918692558</v>
      </c>
    </row>
    <row r="120" spans="1:9" x14ac:dyDescent="0.3">
      <c r="A120">
        <v>2024</v>
      </c>
      <c r="B120">
        <v>6</v>
      </c>
      <c r="C120">
        <v>30</v>
      </c>
      <c r="D120">
        <v>2024.4970000000001</v>
      </c>
      <c r="E120">
        <v>49.121927322188803</v>
      </c>
      <c r="F120">
        <v>10.0672260188087</v>
      </c>
      <c r="G120">
        <v>0</v>
      </c>
      <c r="H120">
        <v>0</v>
      </c>
      <c r="I120" s="106">
        <f t="shared" si="4"/>
        <v>59.189153340997507</v>
      </c>
    </row>
    <row r="121" spans="1:9" x14ac:dyDescent="0.3">
      <c r="A121">
        <v>2024</v>
      </c>
      <c r="B121">
        <v>7</v>
      </c>
      <c r="C121">
        <v>31</v>
      </c>
      <c r="D121">
        <v>2024.5820000000001</v>
      </c>
      <c r="E121">
        <v>49.415586596687497</v>
      </c>
      <c r="F121">
        <v>10.191319417090501</v>
      </c>
      <c r="G121">
        <v>0</v>
      </c>
      <c r="H121">
        <v>0</v>
      </c>
      <c r="I121" s="72">
        <f t="shared" si="4"/>
        <v>59.606906013778001</v>
      </c>
    </row>
    <row r="122" spans="1:9" x14ac:dyDescent="0.3">
      <c r="A122">
        <v>2024</v>
      </c>
      <c r="B122">
        <v>8</v>
      </c>
      <c r="C122">
        <v>31</v>
      </c>
      <c r="D122">
        <v>2024.6669999999999</v>
      </c>
      <c r="E122">
        <v>49.703170523132897</v>
      </c>
      <c r="F122">
        <v>10.3304104034479</v>
      </c>
      <c r="G122">
        <v>0</v>
      </c>
      <c r="H122">
        <v>0</v>
      </c>
      <c r="I122" s="72">
        <f t="shared" si="4"/>
        <v>60.033580926580797</v>
      </c>
    </row>
    <row r="123" spans="1:9" x14ac:dyDescent="0.3">
      <c r="A123">
        <v>2024</v>
      </c>
      <c r="B123">
        <v>9</v>
      </c>
      <c r="C123">
        <v>30</v>
      </c>
      <c r="D123">
        <v>2024.749</v>
      </c>
      <c r="E123">
        <v>49.983535501352797</v>
      </c>
      <c r="F123">
        <v>10.4486683459434</v>
      </c>
      <c r="G123">
        <v>0</v>
      </c>
      <c r="H123">
        <v>0</v>
      </c>
      <c r="I123" s="72">
        <f t="shared" si="4"/>
        <v>60.432203847296194</v>
      </c>
    </row>
    <row r="124" spans="1:9" x14ac:dyDescent="0.3">
      <c r="A124">
        <v>2024</v>
      </c>
      <c r="B124">
        <v>10</v>
      </c>
      <c r="C124">
        <v>31</v>
      </c>
      <c r="D124">
        <v>2024.8330000000001</v>
      </c>
      <c r="E124">
        <v>50.270651447387898</v>
      </c>
      <c r="F124">
        <v>10.5040680476085</v>
      </c>
      <c r="G124">
        <v>0</v>
      </c>
      <c r="H124">
        <v>0</v>
      </c>
      <c r="I124" s="72">
        <f t="shared" si="4"/>
        <v>60.774719494996397</v>
      </c>
    </row>
    <row r="125" spans="1:9" x14ac:dyDescent="0.3">
      <c r="A125">
        <v>2024</v>
      </c>
      <c r="B125">
        <v>11</v>
      </c>
      <c r="C125">
        <v>30</v>
      </c>
      <c r="D125">
        <v>2024.915</v>
      </c>
      <c r="E125">
        <v>50.546133422678999</v>
      </c>
      <c r="F125">
        <v>10.5436650586781</v>
      </c>
      <c r="G125">
        <v>0</v>
      </c>
      <c r="H125">
        <v>0</v>
      </c>
      <c r="I125" s="72">
        <f t="shared" si="4"/>
        <v>61.0897984813571</v>
      </c>
    </row>
    <row r="126" spans="1:9" x14ac:dyDescent="0.3">
      <c r="A126">
        <v>2024</v>
      </c>
      <c r="B126">
        <v>12</v>
      </c>
      <c r="C126">
        <v>31</v>
      </c>
      <c r="D126">
        <v>2025</v>
      </c>
      <c r="E126">
        <v>50.828373641752201</v>
      </c>
      <c r="F126">
        <v>10.579837991971001</v>
      </c>
      <c r="G126">
        <v>0</v>
      </c>
      <c r="H126">
        <v>0</v>
      </c>
      <c r="I126" s="72">
        <f t="shared" si="4"/>
        <v>61.408211633723198</v>
      </c>
    </row>
    <row r="127" spans="1:9" x14ac:dyDescent="0.3">
      <c r="A127">
        <v>2025</v>
      </c>
      <c r="B127">
        <v>1</v>
      </c>
      <c r="C127">
        <v>31</v>
      </c>
      <c r="D127">
        <v>2025.085</v>
      </c>
      <c r="E127">
        <v>51.108176565102198</v>
      </c>
      <c r="F127">
        <v>10.6159801675119</v>
      </c>
      <c r="G127">
        <v>0</v>
      </c>
      <c r="H127">
        <v>0</v>
      </c>
      <c r="I127" s="72">
        <f t="shared" si="4"/>
        <v>61.724156732614098</v>
      </c>
    </row>
    <row r="128" spans="1:9" x14ac:dyDescent="0.3">
      <c r="A128">
        <v>2025</v>
      </c>
      <c r="B128">
        <v>2</v>
      </c>
      <c r="C128">
        <v>28</v>
      </c>
      <c r="D128">
        <v>2025.162</v>
      </c>
      <c r="E128">
        <v>51.358829322129203</v>
      </c>
      <c r="F128">
        <v>10.6508380011011</v>
      </c>
      <c r="G128">
        <v>0</v>
      </c>
      <c r="H128">
        <v>0</v>
      </c>
      <c r="I128" s="72">
        <f t="shared" si="4"/>
        <v>62.009667323230303</v>
      </c>
    </row>
    <row r="129" spans="1:9" x14ac:dyDescent="0.3">
      <c r="A129">
        <v>2025</v>
      </c>
      <c r="B129">
        <v>3</v>
      </c>
      <c r="C129">
        <v>31</v>
      </c>
      <c r="D129">
        <v>2025.2470000000001</v>
      </c>
      <c r="E129">
        <v>51.633982451883199</v>
      </c>
      <c r="F129">
        <v>10.7000359828731</v>
      </c>
      <c r="G129">
        <v>0</v>
      </c>
      <c r="H129">
        <v>0</v>
      </c>
      <c r="I129" s="72">
        <f t="shared" si="4"/>
        <v>62.334018434756302</v>
      </c>
    </row>
    <row r="130" spans="1:9" x14ac:dyDescent="0.3">
      <c r="A130">
        <v>2025</v>
      </c>
      <c r="B130">
        <v>4</v>
      </c>
      <c r="C130">
        <v>30</v>
      </c>
      <c r="D130">
        <v>2025.329</v>
      </c>
      <c r="E130">
        <v>51.897913436901597</v>
      </c>
      <c r="F130">
        <v>10.7616873237218</v>
      </c>
      <c r="G130">
        <v>0</v>
      </c>
      <c r="H130">
        <v>0</v>
      </c>
      <c r="I130" s="72">
        <f t="shared" si="4"/>
        <v>62.659600760623398</v>
      </c>
    </row>
    <row r="131" spans="1:9" x14ac:dyDescent="0.3">
      <c r="A131">
        <v>2025</v>
      </c>
      <c r="B131">
        <v>5</v>
      </c>
      <c r="C131">
        <v>31</v>
      </c>
      <c r="D131">
        <v>2025.414</v>
      </c>
      <c r="E131">
        <v>52.1683472970035</v>
      </c>
      <c r="F131">
        <v>10.8283359704148</v>
      </c>
      <c r="G131">
        <v>0</v>
      </c>
      <c r="H131">
        <v>0</v>
      </c>
      <c r="I131" s="72">
        <f t="shared" si="4"/>
        <v>62.996683267418298</v>
      </c>
    </row>
    <row r="132" spans="1:9" x14ac:dyDescent="0.3">
      <c r="A132">
        <v>2025</v>
      </c>
      <c r="B132">
        <v>6</v>
      </c>
      <c r="C132">
        <v>30</v>
      </c>
      <c r="D132">
        <v>2025.4960000000001</v>
      </c>
      <c r="E132">
        <v>52.427860847712701</v>
      </c>
      <c r="F132">
        <v>10.933540613068001</v>
      </c>
      <c r="G132">
        <v>0</v>
      </c>
      <c r="H132">
        <v>0</v>
      </c>
      <c r="I132" s="106">
        <f t="shared" si="4"/>
        <v>63.361401460780698</v>
      </c>
    </row>
    <row r="133" spans="1:9" x14ac:dyDescent="0.3">
      <c r="A133">
        <v>2025</v>
      </c>
      <c r="B133">
        <v>7</v>
      </c>
      <c r="C133">
        <v>31</v>
      </c>
      <c r="D133">
        <v>2025.5809999999999</v>
      </c>
      <c r="E133">
        <v>52.693779975649598</v>
      </c>
      <c r="F133">
        <v>11.053603111959699</v>
      </c>
      <c r="G133">
        <v>0</v>
      </c>
      <c r="H133">
        <v>0</v>
      </c>
      <c r="I133" s="72">
        <f t="shared" si="4"/>
        <v>63.747383087609293</v>
      </c>
    </row>
    <row r="134" spans="1:9" x14ac:dyDescent="0.3">
      <c r="A134">
        <v>2025</v>
      </c>
      <c r="B134">
        <v>8</v>
      </c>
      <c r="C134">
        <v>31</v>
      </c>
      <c r="D134">
        <v>2025.6659999999999</v>
      </c>
      <c r="E134">
        <v>52.831207057610499</v>
      </c>
      <c r="F134">
        <v>11.1898199144321</v>
      </c>
      <c r="G134">
        <v>0</v>
      </c>
      <c r="H134">
        <v>0</v>
      </c>
      <c r="I134" s="72">
        <f t="shared" si="4"/>
        <v>64.021026972042591</v>
      </c>
    </row>
    <row r="135" spans="1:9" x14ac:dyDescent="0.3">
      <c r="A135">
        <v>2025</v>
      </c>
      <c r="B135">
        <v>9</v>
      </c>
      <c r="C135">
        <v>30</v>
      </c>
      <c r="D135">
        <v>2025.748</v>
      </c>
      <c r="E135">
        <v>52.9585011770709</v>
      </c>
      <c r="F135">
        <v>11.3038909810774</v>
      </c>
      <c r="G135">
        <v>0</v>
      </c>
      <c r="H135">
        <v>0</v>
      </c>
      <c r="I135" s="72">
        <f t="shared" si="4"/>
        <v>64.262392158148302</v>
      </c>
    </row>
    <row r="136" spans="1:9" x14ac:dyDescent="0.3">
      <c r="A136">
        <v>2025</v>
      </c>
      <c r="B136">
        <v>10</v>
      </c>
      <c r="C136">
        <v>31</v>
      </c>
      <c r="D136">
        <v>2025.8330000000001</v>
      </c>
      <c r="E136">
        <v>53.089489639298201</v>
      </c>
      <c r="F136">
        <v>11.3494025821468</v>
      </c>
      <c r="G136">
        <v>0</v>
      </c>
      <c r="H136">
        <v>0</v>
      </c>
      <c r="I136" s="72">
        <f t="shared" si="4"/>
        <v>64.438892221445002</v>
      </c>
    </row>
    <row r="137" spans="1:9" x14ac:dyDescent="0.3">
      <c r="A137">
        <v>2025</v>
      </c>
      <c r="B137">
        <v>11</v>
      </c>
      <c r="C137">
        <v>30</v>
      </c>
      <c r="D137">
        <v>2025.915</v>
      </c>
      <c r="E137">
        <v>53.215647356950697</v>
      </c>
      <c r="F137">
        <v>11.378159377352601</v>
      </c>
      <c r="G137">
        <v>0</v>
      </c>
      <c r="H137">
        <v>0</v>
      </c>
      <c r="I137" s="72">
        <f t="shared" si="4"/>
        <v>64.5938067343033</v>
      </c>
    </row>
    <row r="138" spans="1:9" x14ac:dyDescent="0.3">
      <c r="A138">
        <v>2025</v>
      </c>
      <c r="B138">
        <v>12</v>
      </c>
      <c r="C138">
        <v>31</v>
      </c>
      <c r="D138">
        <v>2026</v>
      </c>
      <c r="E138">
        <v>53.345465142567498</v>
      </c>
      <c r="F138">
        <v>11.402590726607199</v>
      </c>
      <c r="G138">
        <v>0</v>
      </c>
      <c r="H138">
        <v>0</v>
      </c>
      <c r="I138" s="72">
        <f t="shared" si="4"/>
        <v>64.748055869174692</v>
      </c>
    </row>
    <row r="139" spans="1:9" x14ac:dyDescent="0.3">
      <c r="A139">
        <v>2026</v>
      </c>
      <c r="B139">
        <v>1</v>
      </c>
      <c r="C139">
        <v>31</v>
      </c>
      <c r="D139">
        <v>2026.085</v>
      </c>
      <c r="E139">
        <v>53.474734647232097</v>
      </c>
      <c r="F139">
        <v>11.4268168313098</v>
      </c>
      <c r="G139">
        <v>0</v>
      </c>
      <c r="H139">
        <v>0</v>
      </c>
      <c r="I139" s="72">
        <f t="shared" ref="I139:I202" si="5">E139+F139</f>
        <v>64.901551478541904</v>
      </c>
    </row>
    <row r="140" spans="1:9" x14ac:dyDescent="0.3">
      <c r="A140">
        <v>2026</v>
      </c>
      <c r="B140">
        <v>2</v>
      </c>
      <c r="C140">
        <v>28</v>
      </c>
      <c r="D140">
        <v>2026.162</v>
      </c>
      <c r="E140">
        <v>53.591025489041797</v>
      </c>
      <c r="F140">
        <v>11.4509188153345</v>
      </c>
      <c r="G140">
        <v>0</v>
      </c>
      <c r="H140">
        <v>0</v>
      </c>
      <c r="I140" s="72">
        <f t="shared" si="5"/>
        <v>65.041944304376301</v>
      </c>
    </row>
    <row r="141" spans="1:9" x14ac:dyDescent="0.3">
      <c r="A141">
        <v>2026</v>
      </c>
      <c r="B141">
        <v>3</v>
      </c>
      <c r="C141">
        <v>31</v>
      </c>
      <c r="D141">
        <v>2026.2470000000001</v>
      </c>
      <c r="E141">
        <v>53.719259940226202</v>
      </c>
      <c r="F141">
        <v>11.488779909109599</v>
      </c>
      <c r="G141">
        <v>0</v>
      </c>
      <c r="H141">
        <v>0</v>
      </c>
      <c r="I141" s="72">
        <f t="shared" si="5"/>
        <v>65.208039849335805</v>
      </c>
    </row>
    <row r="142" spans="1:9" x14ac:dyDescent="0.3">
      <c r="A142">
        <v>2026</v>
      </c>
      <c r="B142">
        <v>4</v>
      </c>
      <c r="C142">
        <v>30</v>
      </c>
      <c r="D142">
        <v>2026.329</v>
      </c>
      <c r="E142">
        <v>53.8428441518029</v>
      </c>
      <c r="F142">
        <v>11.5402931752007</v>
      </c>
      <c r="G142">
        <v>0</v>
      </c>
      <c r="H142">
        <v>0</v>
      </c>
      <c r="I142" s="72">
        <f t="shared" si="5"/>
        <v>65.383137327003595</v>
      </c>
    </row>
    <row r="143" spans="1:9" x14ac:dyDescent="0.3">
      <c r="A143">
        <v>2026</v>
      </c>
      <c r="B143">
        <v>5</v>
      </c>
      <c r="C143">
        <v>31</v>
      </c>
      <c r="D143">
        <v>2026.414</v>
      </c>
      <c r="E143">
        <v>53.970020004876297</v>
      </c>
      <c r="F143">
        <v>11.5964069246864</v>
      </c>
      <c r="G143">
        <v>0</v>
      </c>
      <c r="H143">
        <v>0</v>
      </c>
      <c r="I143" s="72">
        <f t="shared" si="5"/>
        <v>65.566426929562695</v>
      </c>
    </row>
    <row r="144" spans="1:9" x14ac:dyDescent="0.3">
      <c r="A144">
        <v>2026</v>
      </c>
      <c r="B144">
        <v>6</v>
      </c>
      <c r="C144">
        <v>30</v>
      </c>
      <c r="D144">
        <v>2026.4960000000001</v>
      </c>
      <c r="E144">
        <v>54.092585398285401</v>
      </c>
      <c r="F144">
        <v>11.693923715415901</v>
      </c>
      <c r="G144">
        <v>0</v>
      </c>
      <c r="H144">
        <v>0</v>
      </c>
      <c r="I144" s="106">
        <f t="shared" si="5"/>
        <v>65.7865091137013</v>
      </c>
    </row>
    <row r="145" spans="1:9" x14ac:dyDescent="0.3">
      <c r="A145">
        <v>2026</v>
      </c>
      <c r="B145">
        <v>7</v>
      </c>
      <c r="C145">
        <v>31</v>
      </c>
      <c r="D145">
        <v>2026.5809999999999</v>
      </c>
      <c r="E145">
        <v>54.218714259368902</v>
      </c>
      <c r="F145">
        <v>11.806514782534499</v>
      </c>
      <c r="G145">
        <v>0</v>
      </c>
      <c r="H145">
        <v>0</v>
      </c>
      <c r="I145" s="72">
        <f t="shared" si="5"/>
        <v>66.025229041903401</v>
      </c>
    </row>
    <row r="146" spans="1:9" x14ac:dyDescent="0.3">
      <c r="A146">
        <v>2026</v>
      </c>
      <c r="B146">
        <v>8</v>
      </c>
      <c r="C146">
        <v>31</v>
      </c>
      <c r="D146">
        <v>2026.6659999999999</v>
      </c>
      <c r="E146">
        <v>54.344315448904602</v>
      </c>
      <c r="F146">
        <v>11.9363219370846</v>
      </c>
      <c r="G146">
        <v>0</v>
      </c>
      <c r="H146">
        <v>0</v>
      </c>
      <c r="I146" s="72">
        <f t="shared" si="5"/>
        <v>66.280637385989195</v>
      </c>
    </row>
    <row r="147" spans="1:9" x14ac:dyDescent="0.3">
      <c r="A147">
        <v>2026</v>
      </c>
      <c r="B147">
        <v>9</v>
      </c>
      <c r="C147">
        <v>30</v>
      </c>
      <c r="D147">
        <v>2026.748</v>
      </c>
      <c r="E147">
        <v>54.465365349522301</v>
      </c>
      <c r="F147">
        <v>12.043528950096301</v>
      </c>
      <c r="G147">
        <v>0</v>
      </c>
      <c r="H147">
        <v>0</v>
      </c>
      <c r="I147" s="72">
        <f t="shared" si="5"/>
        <v>66.508894299618603</v>
      </c>
    </row>
    <row r="148" spans="1:9" x14ac:dyDescent="0.3">
      <c r="A148">
        <v>2026</v>
      </c>
      <c r="B148">
        <v>10</v>
      </c>
      <c r="C148">
        <v>31</v>
      </c>
      <c r="D148">
        <v>2026.8330000000001</v>
      </c>
      <c r="E148">
        <v>54.589936806733597</v>
      </c>
      <c r="F148">
        <v>12.0778405011866</v>
      </c>
      <c r="G148">
        <v>0</v>
      </c>
      <c r="H148">
        <v>0</v>
      </c>
      <c r="I148" s="72">
        <f t="shared" si="5"/>
        <v>66.667777307920204</v>
      </c>
    </row>
    <row r="149" spans="1:9" x14ac:dyDescent="0.3">
      <c r="A149">
        <v>2026</v>
      </c>
      <c r="B149">
        <v>11</v>
      </c>
      <c r="C149">
        <v>30</v>
      </c>
      <c r="D149">
        <v>2026.915</v>
      </c>
      <c r="E149">
        <v>54.709928097402504</v>
      </c>
      <c r="F149">
        <v>12.0951884533956</v>
      </c>
      <c r="G149">
        <v>0</v>
      </c>
      <c r="H149">
        <v>0</v>
      </c>
      <c r="I149" s="72">
        <f t="shared" si="5"/>
        <v>66.805116550798104</v>
      </c>
    </row>
    <row r="150" spans="1:9" x14ac:dyDescent="0.3">
      <c r="A150">
        <v>2026</v>
      </c>
      <c r="B150">
        <v>12</v>
      </c>
      <c r="C150">
        <v>31</v>
      </c>
      <c r="D150">
        <v>2027</v>
      </c>
      <c r="E150">
        <v>54.833409165726202</v>
      </c>
      <c r="F150">
        <v>12.107860979874101</v>
      </c>
      <c r="G150">
        <v>0</v>
      </c>
      <c r="H150">
        <v>0</v>
      </c>
      <c r="I150" s="72">
        <f t="shared" si="5"/>
        <v>66.941270145600299</v>
      </c>
    </row>
    <row r="151" spans="1:9" x14ac:dyDescent="0.3">
      <c r="A151">
        <v>2027</v>
      </c>
      <c r="B151">
        <v>1</v>
      </c>
      <c r="C151">
        <v>31</v>
      </c>
      <c r="D151">
        <v>2027.085</v>
      </c>
      <c r="E151">
        <v>54.956377242351103</v>
      </c>
      <c r="F151">
        <v>12.1206427849762</v>
      </c>
      <c r="G151">
        <v>0</v>
      </c>
      <c r="H151">
        <v>0</v>
      </c>
      <c r="I151" s="72">
        <f t="shared" si="5"/>
        <v>67.077020027327308</v>
      </c>
    </row>
    <row r="152" spans="1:9" x14ac:dyDescent="0.3">
      <c r="A152">
        <v>2027</v>
      </c>
      <c r="B152">
        <v>2</v>
      </c>
      <c r="C152">
        <v>28</v>
      </c>
      <c r="D152">
        <v>2027.162</v>
      </c>
      <c r="E152">
        <v>55.067006636233401</v>
      </c>
      <c r="F152">
        <v>12.1347870314925</v>
      </c>
      <c r="G152">
        <v>0</v>
      </c>
      <c r="H152">
        <v>0</v>
      </c>
      <c r="I152" s="72">
        <f t="shared" si="5"/>
        <v>67.201793667725894</v>
      </c>
    </row>
    <row r="153" spans="1:9" x14ac:dyDescent="0.3">
      <c r="A153">
        <v>2027</v>
      </c>
      <c r="B153">
        <v>3</v>
      </c>
      <c r="C153">
        <v>31</v>
      </c>
      <c r="D153">
        <v>2027.2470000000001</v>
      </c>
      <c r="E153">
        <v>55.1890062671104</v>
      </c>
      <c r="F153">
        <v>12.1624791953172</v>
      </c>
      <c r="G153">
        <v>0</v>
      </c>
      <c r="H153">
        <v>0</v>
      </c>
      <c r="I153" s="72">
        <f t="shared" si="5"/>
        <v>67.351485462427604</v>
      </c>
    </row>
    <row r="154" spans="1:9" x14ac:dyDescent="0.3">
      <c r="A154">
        <v>2027</v>
      </c>
      <c r="B154">
        <v>4</v>
      </c>
      <c r="C154">
        <v>30</v>
      </c>
      <c r="D154">
        <v>2027.329</v>
      </c>
      <c r="E154">
        <v>55.306589828228198</v>
      </c>
      <c r="F154">
        <v>12.2051941060161</v>
      </c>
      <c r="G154">
        <v>0</v>
      </c>
      <c r="H154">
        <v>0</v>
      </c>
      <c r="I154" s="72">
        <f t="shared" si="5"/>
        <v>67.511783934244292</v>
      </c>
    </row>
    <row r="155" spans="1:9" x14ac:dyDescent="0.3">
      <c r="A155">
        <v>2027</v>
      </c>
      <c r="B155">
        <v>5</v>
      </c>
      <c r="C155">
        <v>31</v>
      </c>
      <c r="D155">
        <v>2027.414</v>
      </c>
      <c r="E155">
        <v>55.4275989622883</v>
      </c>
      <c r="F155">
        <v>12.252529051221099</v>
      </c>
      <c r="G155">
        <v>0</v>
      </c>
      <c r="H155">
        <v>0</v>
      </c>
      <c r="I155" s="72">
        <f t="shared" si="5"/>
        <v>67.680128013509403</v>
      </c>
    </row>
    <row r="156" spans="1:9" x14ac:dyDescent="0.3">
      <c r="A156">
        <v>2027</v>
      </c>
      <c r="B156">
        <v>6</v>
      </c>
      <c r="C156">
        <v>30</v>
      </c>
      <c r="D156">
        <v>2027.4960000000001</v>
      </c>
      <c r="E156">
        <v>55.544229234593203</v>
      </c>
      <c r="F156">
        <v>12.343917028732299</v>
      </c>
      <c r="G156">
        <v>0</v>
      </c>
      <c r="H156">
        <v>0</v>
      </c>
      <c r="I156" s="106">
        <f t="shared" si="5"/>
        <v>67.888146263325496</v>
      </c>
    </row>
    <row r="157" spans="1:9" x14ac:dyDescent="0.3">
      <c r="A157">
        <v>2027</v>
      </c>
      <c r="B157">
        <v>7</v>
      </c>
      <c r="C157">
        <v>31</v>
      </c>
      <c r="D157">
        <v>2027.5809999999999</v>
      </c>
      <c r="E157">
        <v>55.664258703400598</v>
      </c>
      <c r="F157">
        <v>12.4508945375854</v>
      </c>
      <c r="G157">
        <v>0</v>
      </c>
      <c r="H157">
        <v>0</v>
      </c>
      <c r="I157" s="72">
        <f t="shared" si="5"/>
        <v>68.115153240986004</v>
      </c>
    </row>
    <row r="158" spans="1:9" x14ac:dyDescent="0.3">
      <c r="A158">
        <v>2027</v>
      </c>
      <c r="B158">
        <v>8</v>
      </c>
      <c r="C158">
        <v>31</v>
      </c>
      <c r="D158">
        <v>2027.6659999999999</v>
      </c>
      <c r="E158">
        <v>55.783794419998799</v>
      </c>
      <c r="F158">
        <v>12.5761206194558</v>
      </c>
      <c r="G158">
        <v>0</v>
      </c>
      <c r="H158">
        <v>0</v>
      </c>
      <c r="I158" s="72">
        <f t="shared" si="5"/>
        <v>68.359915039454592</v>
      </c>
    </row>
    <row r="159" spans="1:9" x14ac:dyDescent="0.3">
      <c r="A159">
        <v>2027</v>
      </c>
      <c r="B159">
        <v>9</v>
      </c>
      <c r="C159">
        <v>30</v>
      </c>
      <c r="D159">
        <v>2027.748</v>
      </c>
      <c r="E159">
        <v>55.899006616541797</v>
      </c>
      <c r="F159">
        <v>12.678328813436201</v>
      </c>
      <c r="G159">
        <v>0</v>
      </c>
      <c r="H159">
        <v>0</v>
      </c>
      <c r="I159" s="72">
        <f t="shared" si="5"/>
        <v>68.577335429977992</v>
      </c>
    </row>
    <row r="160" spans="1:9" x14ac:dyDescent="0.3">
      <c r="A160">
        <v>2027</v>
      </c>
      <c r="B160">
        <v>10</v>
      </c>
      <c r="C160">
        <v>31</v>
      </c>
      <c r="D160">
        <v>2027.8330000000001</v>
      </c>
      <c r="E160">
        <v>56.017578765193598</v>
      </c>
      <c r="F160">
        <v>12.7040896230291</v>
      </c>
      <c r="G160">
        <v>0</v>
      </c>
      <c r="H160">
        <v>0</v>
      </c>
      <c r="I160" s="72">
        <f t="shared" si="5"/>
        <v>68.721668388222696</v>
      </c>
    </row>
    <row r="161" spans="1:9" x14ac:dyDescent="0.3">
      <c r="A161">
        <v>2027</v>
      </c>
      <c r="B161">
        <v>11</v>
      </c>
      <c r="C161">
        <v>30</v>
      </c>
      <c r="D161">
        <v>2027.915</v>
      </c>
      <c r="E161">
        <v>56.131806190451599</v>
      </c>
      <c r="F161">
        <v>12.7126581560532</v>
      </c>
      <c r="G161">
        <v>0</v>
      </c>
      <c r="H161">
        <v>0</v>
      </c>
      <c r="I161" s="72">
        <f t="shared" si="5"/>
        <v>68.844464346504793</v>
      </c>
    </row>
    <row r="162" spans="1:9" x14ac:dyDescent="0.3">
      <c r="A162">
        <v>2027</v>
      </c>
      <c r="B162">
        <v>12</v>
      </c>
      <c r="C162">
        <v>31</v>
      </c>
      <c r="D162">
        <v>2028</v>
      </c>
      <c r="E162">
        <v>56.249361995780603</v>
      </c>
      <c r="F162">
        <v>12.716243769129701</v>
      </c>
      <c r="G162">
        <v>0</v>
      </c>
      <c r="H162">
        <v>0</v>
      </c>
      <c r="I162" s="72">
        <f t="shared" si="5"/>
        <v>68.965605764910308</v>
      </c>
    </row>
    <row r="163" spans="1:9" x14ac:dyDescent="0.3">
      <c r="A163">
        <v>2028</v>
      </c>
      <c r="B163">
        <v>1</v>
      </c>
      <c r="C163">
        <v>31</v>
      </c>
      <c r="D163">
        <v>2028.085</v>
      </c>
      <c r="E163">
        <v>56.366437711805702</v>
      </c>
      <c r="F163">
        <v>12.720158030811501</v>
      </c>
      <c r="G163">
        <v>0</v>
      </c>
      <c r="H163">
        <v>0</v>
      </c>
      <c r="I163" s="72">
        <f t="shared" si="5"/>
        <v>69.086595742617206</v>
      </c>
    </row>
    <row r="164" spans="1:9" x14ac:dyDescent="0.3">
      <c r="A164">
        <v>2028</v>
      </c>
      <c r="B164">
        <v>2</v>
      </c>
      <c r="C164">
        <v>29</v>
      </c>
      <c r="D164">
        <v>2028.164</v>
      </c>
      <c r="E164">
        <v>56.475527889550001</v>
      </c>
      <c r="F164">
        <v>12.7271704409187</v>
      </c>
      <c r="G164">
        <v>0</v>
      </c>
      <c r="H164">
        <v>0</v>
      </c>
      <c r="I164" s="72">
        <f t="shared" si="5"/>
        <v>69.202698330468706</v>
      </c>
    </row>
    <row r="165" spans="1:9" x14ac:dyDescent="0.3">
      <c r="A165">
        <v>2028</v>
      </c>
      <c r="B165">
        <v>3</v>
      </c>
      <c r="C165">
        <v>31</v>
      </c>
      <c r="D165">
        <v>2028.249</v>
      </c>
      <c r="E165">
        <v>56.591681959806799</v>
      </c>
      <c r="F165">
        <v>12.747605709480201</v>
      </c>
      <c r="G165">
        <v>0</v>
      </c>
      <c r="H165">
        <v>0</v>
      </c>
      <c r="I165" s="72">
        <f t="shared" si="5"/>
        <v>69.339287669287003</v>
      </c>
    </row>
    <row r="166" spans="1:9" x14ac:dyDescent="0.3">
      <c r="A166">
        <v>2028</v>
      </c>
      <c r="B166">
        <v>4</v>
      </c>
      <c r="C166">
        <v>30</v>
      </c>
      <c r="D166">
        <v>2028.3309999999999</v>
      </c>
      <c r="E166">
        <v>56.703639396547104</v>
      </c>
      <c r="F166">
        <v>12.783450944290999</v>
      </c>
      <c r="G166">
        <v>0</v>
      </c>
      <c r="H166">
        <v>0</v>
      </c>
      <c r="I166" s="72">
        <f t="shared" si="5"/>
        <v>69.487090340838108</v>
      </c>
    </row>
    <row r="167" spans="1:9" x14ac:dyDescent="0.3">
      <c r="A167">
        <v>2028</v>
      </c>
      <c r="B167">
        <v>5</v>
      </c>
      <c r="C167">
        <v>31</v>
      </c>
      <c r="D167">
        <v>2028.415</v>
      </c>
      <c r="E167">
        <v>56.818866577901801</v>
      </c>
      <c r="F167">
        <v>12.8258465243935</v>
      </c>
      <c r="G167">
        <v>0</v>
      </c>
      <c r="H167">
        <v>0</v>
      </c>
      <c r="I167" s="72">
        <f t="shared" si="5"/>
        <v>69.644713102295299</v>
      </c>
    </row>
    <row r="168" spans="1:9" x14ac:dyDescent="0.3">
      <c r="A168">
        <v>2028</v>
      </c>
      <c r="B168">
        <v>6</v>
      </c>
      <c r="C168">
        <v>30</v>
      </c>
      <c r="D168">
        <v>2028.4970000000001</v>
      </c>
      <c r="E168">
        <v>56.929931917473198</v>
      </c>
      <c r="F168">
        <v>12.9129386132128</v>
      </c>
      <c r="G168">
        <v>0</v>
      </c>
      <c r="H168">
        <v>0</v>
      </c>
      <c r="I168" s="106">
        <f t="shared" si="5"/>
        <v>69.842870530686</v>
      </c>
    </row>
    <row r="169" spans="1:9" x14ac:dyDescent="0.3">
      <c r="A169">
        <v>2028</v>
      </c>
      <c r="B169">
        <v>7</v>
      </c>
      <c r="C169">
        <v>31</v>
      </c>
      <c r="D169">
        <v>2028.5820000000001</v>
      </c>
      <c r="E169">
        <v>57.044242289650803</v>
      </c>
      <c r="F169">
        <v>13.0164899379593</v>
      </c>
      <c r="G169">
        <v>0</v>
      </c>
      <c r="H169">
        <v>0</v>
      </c>
      <c r="I169" s="72">
        <f t="shared" si="5"/>
        <v>70.060732227610103</v>
      </c>
    </row>
    <row r="170" spans="1:9" x14ac:dyDescent="0.3">
      <c r="A170">
        <v>2028</v>
      </c>
      <c r="B170">
        <v>8</v>
      </c>
      <c r="C170">
        <v>31</v>
      </c>
      <c r="D170">
        <v>2028.6669999999999</v>
      </c>
      <c r="E170">
        <v>57.158090566382803</v>
      </c>
      <c r="F170">
        <v>13.137894426345801</v>
      </c>
      <c r="G170">
        <v>0</v>
      </c>
      <c r="H170">
        <v>0</v>
      </c>
      <c r="I170" s="72">
        <f t="shared" si="5"/>
        <v>70.295984992728606</v>
      </c>
    </row>
    <row r="171" spans="1:9" x14ac:dyDescent="0.3">
      <c r="A171">
        <v>2028</v>
      </c>
      <c r="B171">
        <v>9</v>
      </c>
      <c r="C171">
        <v>30</v>
      </c>
      <c r="D171">
        <v>2028.749</v>
      </c>
      <c r="E171">
        <v>57.2678287493315</v>
      </c>
      <c r="F171">
        <v>13.233397134703401</v>
      </c>
      <c r="G171">
        <v>0</v>
      </c>
      <c r="H171">
        <v>0</v>
      </c>
      <c r="I171" s="72">
        <f t="shared" si="5"/>
        <v>70.501225884034895</v>
      </c>
    </row>
    <row r="172" spans="1:9" x14ac:dyDescent="0.3">
      <c r="A172">
        <v>2028</v>
      </c>
      <c r="B172">
        <v>10</v>
      </c>
      <c r="C172">
        <v>31</v>
      </c>
      <c r="D172">
        <v>2028.8330000000001</v>
      </c>
      <c r="E172">
        <v>57.3807751900966</v>
      </c>
      <c r="F172">
        <v>13.2518209555935</v>
      </c>
      <c r="G172">
        <v>0</v>
      </c>
      <c r="H172">
        <v>0</v>
      </c>
      <c r="I172" s="72">
        <f t="shared" si="5"/>
        <v>70.632596145690101</v>
      </c>
    </row>
    <row r="173" spans="1:9" x14ac:dyDescent="0.3">
      <c r="A173">
        <v>2028</v>
      </c>
      <c r="B173">
        <v>11</v>
      </c>
      <c r="C173">
        <v>30</v>
      </c>
      <c r="D173">
        <v>2028.915</v>
      </c>
      <c r="E173">
        <v>57.489592884817</v>
      </c>
      <c r="F173">
        <v>13.2532279352556</v>
      </c>
      <c r="G173">
        <v>0</v>
      </c>
      <c r="H173">
        <v>0</v>
      </c>
      <c r="I173" s="72">
        <f t="shared" si="5"/>
        <v>70.742820820072595</v>
      </c>
    </row>
    <row r="174" spans="1:9" x14ac:dyDescent="0.3">
      <c r="A174">
        <v>2028</v>
      </c>
      <c r="B174">
        <v>12</v>
      </c>
      <c r="C174">
        <v>31</v>
      </c>
      <c r="D174">
        <v>2029</v>
      </c>
      <c r="E174">
        <v>57.6015913760898</v>
      </c>
      <c r="F174">
        <v>13.249578959169799</v>
      </c>
      <c r="G174">
        <v>0</v>
      </c>
      <c r="H174">
        <v>0</v>
      </c>
      <c r="I174" s="72">
        <f t="shared" si="5"/>
        <v>70.851170335259596</v>
      </c>
    </row>
    <row r="175" spans="1:9" x14ac:dyDescent="0.3">
      <c r="A175">
        <v>2029</v>
      </c>
      <c r="B175">
        <v>1</v>
      </c>
      <c r="C175">
        <v>31</v>
      </c>
      <c r="D175">
        <v>2029.085</v>
      </c>
      <c r="E175">
        <v>57.713140459415797</v>
      </c>
      <c r="F175">
        <v>13.246512214473301</v>
      </c>
      <c r="G175">
        <v>0</v>
      </c>
      <c r="H175">
        <v>0</v>
      </c>
      <c r="I175" s="72">
        <f t="shared" si="5"/>
        <v>70.959652673889096</v>
      </c>
    </row>
    <row r="176" spans="1:9" x14ac:dyDescent="0.3">
      <c r="A176">
        <v>2029</v>
      </c>
      <c r="B176">
        <v>2</v>
      </c>
      <c r="C176">
        <v>28</v>
      </c>
      <c r="D176">
        <v>2029.162</v>
      </c>
      <c r="E176">
        <v>57.813510255770098</v>
      </c>
      <c r="F176">
        <v>13.247169019257701</v>
      </c>
      <c r="G176">
        <v>0</v>
      </c>
      <c r="H176">
        <v>0</v>
      </c>
      <c r="I176" s="72">
        <f t="shared" si="5"/>
        <v>71.060679275027795</v>
      </c>
    </row>
    <row r="177" spans="1:9" x14ac:dyDescent="0.3">
      <c r="A177">
        <v>2029</v>
      </c>
      <c r="B177">
        <v>3</v>
      </c>
      <c r="C177">
        <v>31</v>
      </c>
      <c r="D177">
        <v>2029.2470000000001</v>
      </c>
      <c r="E177">
        <v>57.924210847000801</v>
      </c>
      <c r="F177">
        <v>13.261338568309</v>
      </c>
      <c r="G177">
        <v>0</v>
      </c>
      <c r="H177">
        <v>0</v>
      </c>
      <c r="I177" s="72">
        <f t="shared" si="5"/>
        <v>71.185549415309794</v>
      </c>
    </row>
    <row r="178" spans="1:9" x14ac:dyDescent="0.3">
      <c r="A178">
        <v>2029</v>
      </c>
      <c r="B178">
        <v>4</v>
      </c>
      <c r="C178">
        <v>30</v>
      </c>
      <c r="D178">
        <v>2029.329</v>
      </c>
      <c r="E178">
        <v>58.0309193390556</v>
      </c>
      <c r="F178">
        <v>13.291786809766601</v>
      </c>
      <c r="G178">
        <v>0</v>
      </c>
      <c r="H178">
        <v>0</v>
      </c>
      <c r="I178" s="72">
        <f t="shared" si="5"/>
        <v>71.322706148822206</v>
      </c>
    </row>
    <row r="179" spans="1:9" x14ac:dyDescent="0.3">
      <c r="A179">
        <v>2029</v>
      </c>
      <c r="B179">
        <v>5</v>
      </c>
      <c r="C179">
        <v>31</v>
      </c>
      <c r="D179">
        <v>2029.414</v>
      </c>
      <c r="E179">
        <v>58.140751999948002</v>
      </c>
      <c r="F179">
        <v>13.328839745537399</v>
      </c>
      <c r="G179">
        <v>0</v>
      </c>
      <c r="H179">
        <v>0</v>
      </c>
      <c r="I179" s="72">
        <f t="shared" si="5"/>
        <v>71.469591745485403</v>
      </c>
    </row>
    <row r="180" spans="1:9" x14ac:dyDescent="0.3">
      <c r="A180">
        <v>2029</v>
      </c>
      <c r="B180">
        <v>6</v>
      </c>
      <c r="C180">
        <v>30</v>
      </c>
      <c r="D180">
        <v>2029.4960000000001</v>
      </c>
      <c r="E180">
        <v>58.246625104859099</v>
      </c>
      <c r="F180">
        <v>13.4123663836169</v>
      </c>
      <c r="G180">
        <v>0</v>
      </c>
      <c r="H180">
        <v>0</v>
      </c>
      <c r="I180" s="106">
        <f t="shared" si="5"/>
        <v>71.658991488476005</v>
      </c>
    </row>
    <row r="181" spans="1:9" x14ac:dyDescent="0.3">
      <c r="A181">
        <v>2029</v>
      </c>
      <c r="B181">
        <v>7</v>
      </c>
      <c r="C181">
        <v>31</v>
      </c>
      <c r="D181">
        <v>2029.5809999999999</v>
      </c>
      <c r="E181">
        <v>58.355599200310301</v>
      </c>
      <c r="F181">
        <v>13.512725876425</v>
      </c>
      <c r="G181">
        <v>0</v>
      </c>
      <c r="H181">
        <v>0</v>
      </c>
      <c r="I181" s="72">
        <f t="shared" si="5"/>
        <v>71.868325076735303</v>
      </c>
    </row>
    <row r="182" spans="1:9" x14ac:dyDescent="0.3">
      <c r="A182">
        <v>2029</v>
      </c>
      <c r="B182">
        <v>8</v>
      </c>
      <c r="C182">
        <v>31</v>
      </c>
      <c r="D182">
        <v>2029.6659999999999</v>
      </c>
      <c r="E182">
        <v>58.4641405276816</v>
      </c>
      <c r="F182">
        <v>13.631614523209199</v>
      </c>
      <c r="G182">
        <v>0</v>
      </c>
      <c r="H182">
        <v>0</v>
      </c>
      <c r="I182" s="72">
        <f t="shared" si="5"/>
        <v>72.095755050890801</v>
      </c>
    </row>
    <row r="183" spans="1:9" x14ac:dyDescent="0.3">
      <c r="A183">
        <v>2029</v>
      </c>
      <c r="B183">
        <v>9</v>
      </c>
      <c r="C183">
        <v>30</v>
      </c>
      <c r="D183">
        <v>2029.748</v>
      </c>
      <c r="E183">
        <v>58.568770705195902</v>
      </c>
      <c r="F183">
        <v>13.724165828467299</v>
      </c>
      <c r="G183">
        <v>0</v>
      </c>
      <c r="H183">
        <v>0</v>
      </c>
      <c r="I183" s="72">
        <f t="shared" si="5"/>
        <v>72.292936533663209</v>
      </c>
    </row>
    <row r="184" spans="1:9" x14ac:dyDescent="0.3">
      <c r="A184">
        <v>2029</v>
      </c>
      <c r="B184">
        <v>10</v>
      </c>
      <c r="C184">
        <v>31</v>
      </c>
      <c r="D184">
        <v>2029.8330000000001</v>
      </c>
      <c r="E184">
        <v>58.6764673743209</v>
      </c>
      <c r="F184">
        <v>13.7371304211397</v>
      </c>
      <c r="G184">
        <v>0</v>
      </c>
      <c r="H184">
        <v>0</v>
      </c>
      <c r="I184" s="72">
        <f t="shared" si="5"/>
        <v>72.413597795460603</v>
      </c>
    </row>
    <row r="185" spans="1:9" x14ac:dyDescent="0.3">
      <c r="A185">
        <v>2029</v>
      </c>
      <c r="B185">
        <v>11</v>
      </c>
      <c r="C185">
        <v>30</v>
      </c>
      <c r="D185">
        <v>2029.915</v>
      </c>
      <c r="E185">
        <v>58.780238023648501</v>
      </c>
      <c r="F185">
        <v>13.7328601917015</v>
      </c>
      <c r="G185">
        <v>0</v>
      </c>
      <c r="H185">
        <v>0</v>
      </c>
      <c r="I185" s="72">
        <f t="shared" si="5"/>
        <v>72.513098215349999</v>
      </c>
    </row>
    <row r="186" spans="1:9" x14ac:dyDescent="0.3">
      <c r="A186">
        <v>2029</v>
      </c>
      <c r="B186">
        <v>12</v>
      </c>
      <c r="C186">
        <v>31</v>
      </c>
      <c r="D186">
        <v>2030</v>
      </c>
      <c r="E186">
        <v>58.887049571201402</v>
      </c>
      <c r="F186">
        <v>13.723298579913299</v>
      </c>
      <c r="G186">
        <v>0</v>
      </c>
      <c r="H186">
        <v>0</v>
      </c>
      <c r="I186" s="72">
        <f t="shared" si="5"/>
        <v>72.610348151114707</v>
      </c>
    </row>
    <row r="187" spans="1:9" x14ac:dyDescent="0.3">
      <c r="A187">
        <v>2030</v>
      </c>
      <c r="B187">
        <v>1</v>
      </c>
      <c r="C187">
        <v>31</v>
      </c>
      <c r="D187">
        <v>2030.085</v>
      </c>
      <c r="E187">
        <v>58.993440118727698</v>
      </c>
      <c r="F187">
        <v>13.7144413165505</v>
      </c>
      <c r="G187">
        <v>0</v>
      </c>
      <c r="H187">
        <v>0</v>
      </c>
      <c r="I187" s="72">
        <f t="shared" si="5"/>
        <v>72.707881435278196</v>
      </c>
    </row>
    <row r="188" spans="1:9" x14ac:dyDescent="0.3">
      <c r="A188">
        <v>2030</v>
      </c>
      <c r="B188">
        <v>2</v>
      </c>
      <c r="C188">
        <v>28</v>
      </c>
      <c r="D188">
        <v>2030.162</v>
      </c>
      <c r="E188">
        <v>59.089174861860499</v>
      </c>
      <c r="F188">
        <v>13.710048732133799</v>
      </c>
      <c r="G188">
        <v>0</v>
      </c>
      <c r="H188">
        <v>0</v>
      </c>
      <c r="I188" s="72">
        <f t="shared" si="5"/>
        <v>72.799223593994299</v>
      </c>
    </row>
    <row r="189" spans="1:9" x14ac:dyDescent="0.3">
      <c r="A189">
        <v>2030</v>
      </c>
      <c r="B189">
        <v>3</v>
      </c>
      <c r="C189">
        <v>31</v>
      </c>
      <c r="D189">
        <v>2030.2470000000001</v>
      </c>
      <c r="E189">
        <v>59.194770493950202</v>
      </c>
      <c r="F189">
        <v>13.719094613311301</v>
      </c>
      <c r="G189">
        <v>0</v>
      </c>
      <c r="H189">
        <v>0</v>
      </c>
      <c r="I189" s="72">
        <f t="shared" si="5"/>
        <v>72.9138651072615</v>
      </c>
    </row>
    <row r="190" spans="1:9" x14ac:dyDescent="0.3">
      <c r="A190">
        <v>2030</v>
      </c>
      <c r="B190">
        <v>4</v>
      </c>
      <c r="C190">
        <v>30</v>
      </c>
      <c r="D190">
        <v>2030.329</v>
      </c>
      <c r="E190">
        <v>59.296565264200098</v>
      </c>
      <c r="F190">
        <v>13.7451495228821</v>
      </c>
      <c r="G190">
        <v>0</v>
      </c>
      <c r="H190">
        <v>0</v>
      </c>
      <c r="I190" s="72">
        <f t="shared" si="5"/>
        <v>73.041714787082199</v>
      </c>
    </row>
    <row r="191" spans="1:9" x14ac:dyDescent="0.3">
      <c r="A191">
        <v>2030</v>
      </c>
      <c r="B191">
        <v>5</v>
      </c>
      <c r="C191">
        <v>31</v>
      </c>
      <c r="D191">
        <v>2030.414</v>
      </c>
      <c r="E191">
        <v>59.4013476888029</v>
      </c>
      <c r="F191">
        <v>13.7778531316168</v>
      </c>
      <c r="G191">
        <v>0</v>
      </c>
      <c r="H191">
        <v>0</v>
      </c>
      <c r="I191" s="72">
        <f t="shared" si="5"/>
        <v>73.179200820419695</v>
      </c>
    </row>
    <row r="192" spans="1:9" x14ac:dyDescent="0.3">
      <c r="A192">
        <v>2030</v>
      </c>
      <c r="B192">
        <v>6</v>
      </c>
      <c r="C192">
        <v>30</v>
      </c>
      <c r="D192">
        <v>2030.4960000000001</v>
      </c>
      <c r="E192">
        <v>59.502359702390898</v>
      </c>
      <c r="F192">
        <v>13.858558473868101</v>
      </c>
      <c r="G192">
        <v>0</v>
      </c>
      <c r="H192">
        <v>0</v>
      </c>
      <c r="I192" s="106">
        <f t="shared" si="5"/>
        <v>73.360918176258991</v>
      </c>
    </row>
    <row r="193" spans="1:9" x14ac:dyDescent="0.3">
      <c r="A193">
        <v>2030</v>
      </c>
      <c r="B193">
        <v>7</v>
      </c>
      <c r="C193">
        <v>31</v>
      </c>
      <c r="D193">
        <v>2030.5809999999999</v>
      </c>
      <c r="E193">
        <v>59.606337610111403</v>
      </c>
      <c r="F193">
        <v>13.9564223913537</v>
      </c>
      <c r="G193">
        <v>0</v>
      </c>
      <c r="H193">
        <v>0</v>
      </c>
      <c r="I193" s="72">
        <f t="shared" si="5"/>
        <v>73.562760001465108</v>
      </c>
    </row>
    <row r="194" spans="1:9" x14ac:dyDescent="0.3">
      <c r="A194">
        <v>2030</v>
      </c>
      <c r="B194">
        <v>8</v>
      </c>
      <c r="C194">
        <v>31</v>
      </c>
      <c r="D194">
        <v>2030.6659999999999</v>
      </c>
      <c r="E194">
        <v>59.709909960879003</v>
      </c>
      <c r="F194">
        <v>14.0733967886363</v>
      </c>
      <c r="G194">
        <v>0</v>
      </c>
      <c r="H194">
        <v>0</v>
      </c>
      <c r="I194" s="72">
        <f t="shared" si="5"/>
        <v>73.783306749515305</v>
      </c>
    </row>
    <row r="195" spans="1:9" x14ac:dyDescent="0.3">
      <c r="A195">
        <v>2030</v>
      </c>
      <c r="B195">
        <v>9</v>
      </c>
      <c r="C195">
        <v>30</v>
      </c>
      <c r="D195">
        <v>2030.748</v>
      </c>
      <c r="E195">
        <v>59.809757198508898</v>
      </c>
      <c r="F195">
        <v>14.1636332554788</v>
      </c>
      <c r="G195">
        <v>0</v>
      </c>
      <c r="H195">
        <v>0</v>
      </c>
      <c r="I195" s="72">
        <f t="shared" si="5"/>
        <v>73.97339045398769</v>
      </c>
    </row>
    <row r="196" spans="1:9" x14ac:dyDescent="0.3">
      <c r="A196">
        <v>2030</v>
      </c>
      <c r="B196">
        <v>10</v>
      </c>
      <c r="C196">
        <v>31</v>
      </c>
      <c r="D196">
        <v>2030.8330000000001</v>
      </c>
      <c r="E196">
        <v>59.912537935856797</v>
      </c>
      <c r="F196">
        <v>14.172081739166</v>
      </c>
      <c r="G196">
        <v>0</v>
      </c>
      <c r="H196">
        <v>0</v>
      </c>
      <c r="I196" s="72">
        <f t="shared" si="5"/>
        <v>74.084619675022793</v>
      </c>
    </row>
    <row r="197" spans="1:9" x14ac:dyDescent="0.3">
      <c r="A197">
        <v>2030</v>
      </c>
      <c r="B197">
        <v>11</v>
      </c>
      <c r="C197">
        <v>30</v>
      </c>
      <c r="D197">
        <v>2030.915</v>
      </c>
      <c r="E197">
        <v>60.011581806250597</v>
      </c>
      <c r="F197">
        <v>14.163082940334</v>
      </c>
      <c r="G197">
        <v>0</v>
      </c>
      <c r="H197">
        <v>0</v>
      </c>
      <c r="I197" s="72">
        <f t="shared" si="5"/>
        <v>74.174664746584597</v>
      </c>
    </row>
    <row r="198" spans="1:9" x14ac:dyDescent="0.3">
      <c r="A198">
        <v>2030</v>
      </c>
      <c r="B198">
        <v>12</v>
      </c>
      <c r="C198">
        <v>31</v>
      </c>
      <c r="D198">
        <v>2031</v>
      </c>
      <c r="E198">
        <v>60.113535286888997</v>
      </c>
      <c r="F198">
        <v>14.1485820666151</v>
      </c>
      <c r="G198">
        <v>0</v>
      </c>
      <c r="H198">
        <v>0</v>
      </c>
      <c r="I198" s="72">
        <f t="shared" si="5"/>
        <v>74.262117353504095</v>
      </c>
    </row>
    <row r="199" spans="1:9" x14ac:dyDescent="0.3">
      <c r="A199">
        <v>2031</v>
      </c>
      <c r="B199">
        <v>1</v>
      </c>
      <c r="C199">
        <v>31</v>
      </c>
      <c r="D199">
        <v>2031.085</v>
      </c>
      <c r="E199">
        <v>60.215094116924902</v>
      </c>
      <c r="F199">
        <v>14.134880700001601</v>
      </c>
      <c r="G199">
        <v>0</v>
      </c>
      <c r="H199">
        <v>0</v>
      </c>
      <c r="I199" s="72">
        <f t="shared" si="5"/>
        <v>74.349974816926505</v>
      </c>
    </row>
    <row r="200" spans="1:9" x14ac:dyDescent="0.3">
      <c r="A200">
        <v>2031</v>
      </c>
      <c r="B200">
        <v>2</v>
      </c>
      <c r="C200">
        <v>28</v>
      </c>
      <c r="D200">
        <v>2031.162</v>
      </c>
      <c r="E200">
        <v>60.3064872373686</v>
      </c>
      <c r="F200">
        <v>14.1262619260243</v>
      </c>
      <c r="G200">
        <v>0</v>
      </c>
      <c r="H200">
        <v>0</v>
      </c>
      <c r="I200" s="72">
        <f t="shared" si="5"/>
        <v>74.432749163392899</v>
      </c>
    </row>
    <row r="201" spans="1:9" x14ac:dyDescent="0.3">
      <c r="A201">
        <v>2031</v>
      </c>
      <c r="B201">
        <v>3</v>
      </c>
      <c r="C201">
        <v>31</v>
      </c>
      <c r="D201">
        <v>2031.2470000000001</v>
      </c>
      <c r="E201">
        <v>60.407300841184799</v>
      </c>
      <c r="F201">
        <v>14.131030133186499</v>
      </c>
      <c r="G201">
        <v>0</v>
      </c>
      <c r="H201">
        <v>0</v>
      </c>
      <c r="I201" s="72">
        <f t="shared" si="5"/>
        <v>74.538330974371291</v>
      </c>
    </row>
    <row r="202" spans="1:9" x14ac:dyDescent="0.3">
      <c r="A202">
        <v>2031</v>
      </c>
      <c r="B202">
        <v>4</v>
      </c>
      <c r="C202">
        <v>30</v>
      </c>
      <c r="D202">
        <v>2031.329</v>
      </c>
      <c r="E202">
        <v>60.504492473732299</v>
      </c>
      <c r="F202">
        <v>14.1534347357993</v>
      </c>
      <c r="G202">
        <v>0</v>
      </c>
      <c r="H202">
        <v>0</v>
      </c>
      <c r="I202" s="72">
        <f t="shared" si="5"/>
        <v>74.657927209531593</v>
      </c>
    </row>
    <row r="203" spans="1:9" x14ac:dyDescent="0.3">
      <c r="A203">
        <v>2031</v>
      </c>
      <c r="B203">
        <v>5</v>
      </c>
      <c r="C203">
        <v>31</v>
      </c>
      <c r="D203">
        <v>2031.414</v>
      </c>
      <c r="E203">
        <v>60.604543615781999</v>
      </c>
      <c r="F203">
        <v>14.182525473889701</v>
      </c>
      <c r="G203">
        <v>0</v>
      </c>
      <c r="H203">
        <v>0</v>
      </c>
      <c r="I203" s="72">
        <f t="shared" ref="I203:I266" si="6">E203+F203</f>
        <v>74.787069089671704</v>
      </c>
    </row>
    <row r="204" spans="1:9" x14ac:dyDescent="0.3">
      <c r="A204">
        <v>2031</v>
      </c>
      <c r="B204">
        <v>6</v>
      </c>
      <c r="C204">
        <v>30</v>
      </c>
      <c r="D204">
        <v>2031.4960000000001</v>
      </c>
      <c r="E204">
        <v>60.7010012941181</v>
      </c>
      <c r="F204">
        <v>14.2609557759881</v>
      </c>
      <c r="G204">
        <v>0</v>
      </c>
      <c r="H204">
        <v>0</v>
      </c>
      <c r="I204" s="106">
        <f t="shared" si="6"/>
        <v>74.961957070106195</v>
      </c>
    </row>
    <row r="205" spans="1:9" x14ac:dyDescent="0.3">
      <c r="A205">
        <v>2031</v>
      </c>
      <c r="B205">
        <v>7</v>
      </c>
      <c r="C205">
        <v>31</v>
      </c>
      <c r="D205">
        <v>2031.5809999999999</v>
      </c>
      <c r="E205">
        <v>60.800298033771199</v>
      </c>
      <c r="F205">
        <v>14.3568338212692</v>
      </c>
      <c r="G205">
        <v>0</v>
      </c>
      <c r="H205">
        <v>0</v>
      </c>
      <c r="I205" s="72">
        <f t="shared" si="6"/>
        <v>75.157131855040404</v>
      </c>
    </row>
    <row r="206" spans="1:9" x14ac:dyDescent="0.3">
      <c r="A206">
        <v>2031</v>
      </c>
      <c r="B206">
        <v>8</v>
      </c>
      <c r="C206">
        <v>31</v>
      </c>
      <c r="D206">
        <v>2031.6659999999999</v>
      </c>
      <c r="E206">
        <v>60.8992144448872</v>
      </c>
      <c r="F206">
        <v>14.4723315239195</v>
      </c>
      <c r="G206">
        <v>0</v>
      </c>
      <c r="H206">
        <v>0</v>
      </c>
      <c r="I206" s="72">
        <f t="shared" si="6"/>
        <v>75.3715459688067</v>
      </c>
    </row>
    <row r="207" spans="1:9" x14ac:dyDescent="0.3">
      <c r="A207">
        <v>2031</v>
      </c>
      <c r="B207">
        <v>9</v>
      </c>
      <c r="C207">
        <v>30</v>
      </c>
      <c r="D207">
        <v>2031.748</v>
      </c>
      <c r="E207">
        <v>60.994579804361898</v>
      </c>
      <c r="F207">
        <v>14.5607207599503</v>
      </c>
      <c r="G207">
        <v>0</v>
      </c>
      <c r="H207">
        <v>0</v>
      </c>
      <c r="I207" s="72">
        <f t="shared" si="6"/>
        <v>75.555300564312205</v>
      </c>
    </row>
    <row r="208" spans="1:9" x14ac:dyDescent="0.3">
      <c r="A208">
        <v>2031</v>
      </c>
      <c r="B208">
        <v>10</v>
      </c>
      <c r="C208">
        <v>31</v>
      </c>
      <c r="D208">
        <v>2031.8330000000001</v>
      </c>
      <c r="E208">
        <v>61.092753778139503</v>
      </c>
      <c r="F208">
        <v>14.5653619034995</v>
      </c>
      <c r="G208">
        <v>0</v>
      </c>
      <c r="H208">
        <v>0</v>
      </c>
      <c r="I208" s="72">
        <f t="shared" si="6"/>
        <v>75.658115681639003</v>
      </c>
    </row>
    <row r="209" spans="1:9" x14ac:dyDescent="0.3">
      <c r="A209">
        <v>2031</v>
      </c>
      <c r="B209">
        <v>11</v>
      </c>
      <c r="C209">
        <v>30</v>
      </c>
      <c r="D209">
        <v>2031.915</v>
      </c>
      <c r="E209">
        <v>61.187368794645998</v>
      </c>
      <c r="F209">
        <v>14.5523511050226</v>
      </c>
      <c r="G209">
        <v>0</v>
      </c>
      <c r="H209">
        <v>0</v>
      </c>
      <c r="I209" s="72">
        <f t="shared" si="6"/>
        <v>75.7397198996686</v>
      </c>
    </row>
    <row r="210" spans="1:9" x14ac:dyDescent="0.3">
      <c r="A210">
        <v>2031</v>
      </c>
      <c r="B210">
        <v>12</v>
      </c>
      <c r="C210">
        <v>31</v>
      </c>
      <c r="D210">
        <v>2032</v>
      </c>
      <c r="E210">
        <v>61.284768818193001</v>
      </c>
      <c r="F210">
        <v>14.5336484722999</v>
      </c>
      <c r="G210">
        <v>0</v>
      </c>
      <c r="H210">
        <v>0</v>
      </c>
      <c r="I210" s="72">
        <f t="shared" si="6"/>
        <v>75.818417290492903</v>
      </c>
    </row>
    <row r="211" spans="1:9" x14ac:dyDescent="0.3">
      <c r="A211">
        <v>2032</v>
      </c>
      <c r="B211">
        <v>1</v>
      </c>
      <c r="C211">
        <v>31</v>
      </c>
      <c r="D211">
        <v>2032.085</v>
      </c>
      <c r="E211">
        <v>61.381798616873802</v>
      </c>
      <c r="F211">
        <v>14.515821680745701</v>
      </c>
      <c r="G211">
        <v>0</v>
      </c>
      <c r="H211">
        <v>0</v>
      </c>
      <c r="I211" s="72">
        <f t="shared" si="6"/>
        <v>75.897620297619497</v>
      </c>
    </row>
    <row r="212" spans="1:9" x14ac:dyDescent="0.3">
      <c r="A212">
        <v>2032</v>
      </c>
      <c r="B212">
        <v>2</v>
      </c>
      <c r="C212">
        <v>29</v>
      </c>
      <c r="D212">
        <v>2032.164</v>
      </c>
      <c r="E212">
        <v>61.472235013808003</v>
      </c>
      <c r="F212">
        <v>14.503553415509099</v>
      </c>
      <c r="G212">
        <v>0</v>
      </c>
      <c r="H212">
        <v>0</v>
      </c>
      <c r="I212" s="72">
        <f t="shared" si="6"/>
        <v>75.975788429317106</v>
      </c>
    </row>
    <row r="213" spans="1:9" x14ac:dyDescent="0.3">
      <c r="A213">
        <v>2032</v>
      </c>
      <c r="B213">
        <v>3</v>
      </c>
      <c r="C213">
        <v>31</v>
      </c>
      <c r="D213">
        <v>2032.249</v>
      </c>
      <c r="E213">
        <v>61.568553856294798</v>
      </c>
      <c r="F213">
        <v>14.5053873804055</v>
      </c>
      <c r="G213">
        <v>0</v>
      </c>
      <c r="H213">
        <v>0</v>
      </c>
      <c r="I213" s="72">
        <f t="shared" si="6"/>
        <v>76.073941236700293</v>
      </c>
    </row>
    <row r="214" spans="1:9" x14ac:dyDescent="0.3">
      <c r="A214">
        <v>2032</v>
      </c>
      <c r="B214">
        <v>4</v>
      </c>
      <c r="C214">
        <v>30</v>
      </c>
      <c r="D214">
        <v>2032.3309999999999</v>
      </c>
      <c r="E214">
        <v>61.661418610598503</v>
      </c>
      <c r="F214">
        <v>14.524656804781801</v>
      </c>
      <c r="G214">
        <v>0</v>
      </c>
      <c r="H214">
        <v>0</v>
      </c>
      <c r="I214" s="72">
        <f t="shared" si="6"/>
        <v>76.186075415380301</v>
      </c>
    </row>
    <row r="215" spans="1:9" x14ac:dyDescent="0.3">
      <c r="A215">
        <v>2032</v>
      </c>
      <c r="B215">
        <v>5</v>
      </c>
      <c r="C215">
        <v>31</v>
      </c>
      <c r="D215">
        <v>2032.415</v>
      </c>
      <c r="E215">
        <v>61.757022149923003</v>
      </c>
      <c r="F215">
        <v>14.5526423211644</v>
      </c>
      <c r="G215">
        <v>0</v>
      </c>
      <c r="H215">
        <v>0</v>
      </c>
      <c r="I215" s="72">
        <f t="shared" si="6"/>
        <v>76.309664471087402</v>
      </c>
    </row>
    <row r="216" spans="1:9" x14ac:dyDescent="0.3">
      <c r="A216">
        <v>2032</v>
      </c>
      <c r="B216">
        <v>6</v>
      </c>
      <c r="C216">
        <v>30</v>
      </c>
      <c r="D216">
        <v>2032.4970000000001</v>
      </c>
      <c r="E216">
        <v>61.849198301385499</v>
      </c>
      <c r="F216">
        <v>14.6296217960974</v>
      </c>
      <c r="G216">
        <v>0</v>
      </c>
      <c r="H216">
        <v>0</v>
      </c>
      <c r="I216" s="106">
        <f t="shared" si="6"/>
        <v>76.478820097482895</v>
      </c>
    </row>
    <row r="217" spans="1:9" x14ac:dyDescent="0.3">
      <c r="A217">
        <v>2032</v>
      </c>
      <c r="B217">
        <v>7</v>
      </c>
      <c r="C217">
        <v>31</v>
      </c>
      <c r="D217">
        <v>2032.5820000000001</v>
      </c>
      <c r="E217">
        <v>61.9440940076788</v>
      </c>
      <c r="F217">
        <v>14.724742482441499</v>
      </c>
      <c r="G217">
        <v>0</v>
      </c>
      <c r="H217">
        <v>0</v>
      </c>
      <c r="I217" s="72">
        <f t="shared" si="6"/>
        <v>76.668836490120299</v>
      </c>
    </row>
    <row r="218" spans="1:9" x14ac:dyDescent="0.3">
      <c r="A218">
        <v>2032</v>
      </c>
      <c r="B218">
        <v>8</v>
      </c>
      <c r="C218">
        <v>31</v>
      </c>
      <c r="D218">
        <v>2032.6669999999999</v>
      </c>
      <c r="E218">
        <v>62.038632828317098</v>
      </c>
      <c r="F218">
        <v>14.838673559065301</v>
      </c>
      <c r="G218">
        <v>0</v>
      </c>
      <c r="H218">
        <v>0</v>
      </c>
      <c r="I218" s="72">
        <f t="shared" si="6"/>
        <v>76.877306387382404</v>
      </c>
    </row>
    <row r="219" spans="1:9" x14ac:dyDescent="0.3">
      <c r="A219">
        <v>2032</v>
      </c>
      <c r="B219">
        <v>9</v>
      </c>
      <c r="C219">
        <v>30</v>
      </c>
      <c r="D219">
        <v>2032.749</v>
      </c>
      <c r="E219">
        <v>62.1297839899403</v>
      </c>
      <c r="F219">
        <v>14.922310851504401</v>
      </c>
      <c r="G219">
        <v>0</v>
      </c>
      <c r="H219">
        <v>0</v>
      </c>
      <c r="I219" s="72">
        <f t="shared" si="6"/>
        <v>77.052094841444699</v>
      </c>
    </row>
    <row r="220" spans="1:9" x14ac:dyDescent="0.3">
      <c r="A220">
        <v>2032</v>
      </c>
      <c r="B220">
        <v>10</v>
      </c>
      <c r="C220">
        <v>31</v>
      </c>
      <c r="D220">
        <v>2032.8330000000001</v>
      </c>
      <c r="E220">
        <v>62.223626067466299</v>
      </c>
      <c r="F220">
        <v>14.923019460408399</v>
      </c>
      <c r="G220">
        <v>0</v>
      </c>
      <c r="H220">
        <v>0</v>
      </c>
      <c r="I220" s="72">
        <f t="shared" si="6"/>
        <v>77.146645527874696</v>
      </c>
    </row>
    <row r="221" spans="1:9" x14ac:dyDescent="0.3">
      <c r="A221">
        <v>2032</v>
      </c>
      <c r="B221">
        <v>11</v>
      </c>
      <c r="C221">
        <v>30</v>
      </c>
      <c r="D221">
        <v>2032.915</v>
      </c>
      <c r="E221">
        <v>62.314073432990703</v>
      </c>
      <c r="F221">
        <v>14.9063467231784</v>
      </c>
      <c r="G221">
        <v>0</v>
      </c>
      <c r="H221">
        <v>0</v>
      </c>
      <c r="I221" s="72">
        <f t="shared" si="6"/>
        <v>77.220420156169098</v>
      </c>
    </row>
    <row r="222" spans="1:9" x14ac:dyDescent="0.3">
      <c r="A222">
        <v>2032</v>
      </c>
      <c r="B222">
        <v>12</v>
      </c>
      <c r="C222">
        <v>31</v>
      </c>
      <c r="D222">
        <v>2033</v>
      </c>
      <c r="E222">
        <v>62.407190812395001</v>
      </c>
      <c r="F222">
        <v>14.884028424554501</v>
      </c>
      <c r="G222">
        <v>0</v>
      </c>
      <c r="H222">
        <v>0</v>
      </c>
      <c r="I222" s="72">
        <f t="shared" si="6"/>
        <v>77.291219236949502</v>
      </c>
    </row>
    <row r="223" spans="1:9" x14ac:dyDescent="0.3">
      <c r="A223">
        <v>2033</v>
      </c>
      <c r="B223">
        <v>1</v>
      </c>
      <c r="C223">
        <v>31</v>
      </c>
      <c r="D223">
        <v>2033.085</v>
      </c>
      <c r="E223">
        <v>62.499960663458502</v>
      </c>
      <c r="F223">
        <v>14.862752136527201</v>
      </c>
      <c r="G223">
        <v>0</v>
      </c>
      <c r="H223">
        <v>0</v>
      </c>
      <c r="I223" s="72">
        <f t="shared" si="6"/>
        <v>77.362712799985701</v>
      </c>
    </row>
    <row r="224" spans="1:9" x14ac:dyDescent="0.3">
      <c r="A224">
        <v>2033</v>
      </c>
      <c r="B224">
        <v>2</v>
      </c>
      <c r="C224">
        <v>28</v>
      </c>
      <c r="D224">
        <v>2033.162</v>
      </c>
      <c r="E224">
        <v>62.5834556042022</v>
      </c>
      <c r="F224">
        <v>14.8478755274416</v>
      </c>
      <c r="G224">
        <v>0</v>
      </c>
      <c r="H224">
        <v>0</v>
      </c>
      <c r="I224" s="72">
        <f t="shared" si="6"/>
        <v>77.431331131643802</v>
      </c>
    </row>
    <row r="225" spans="1:9" x14ac:dyDescent="0.3">
      <c r="A225">
        <v>2033</v>
      </c>
      <c r="B225">
        <v>3</v>
      </c>
      <c r="C225">
        <v>31</v>
      </c>
      <c r="D225">
        <v>2033.2470000000001</v>
      </c>
      <c r="E225">
        <v>62.675569085772302</v>
      </c>
      <c r="F225">
        <v>14.8465902859437</v>
      </c>
      <c r="G225">
        <v>0</v>
      </c>
      <c r="H225">
        <v>0</v>
      </c>
      <c r="I225" s="72">
        <f t="shared" si="6"/>
        <v>77.522159371716</v>
      </c>
    </row>
    <row r="226" spans="1:9" x14ac:dyDescent="0.3">
      <c r="A226">
        <v>2033</v>
      </c>
      <c r="B226">
        <v>4</v>
      </c>
      <c r="C226">
        <v>30</v>
      </c>
      <c r="D226">
        <v>2033.329</v>
      </c>
      <c r="E226">
        <v>62.764385290195001</v>
      </c>
      <c r="F226">
        <v>14.863212718972401</v>
      </c>
      <c r="G226">
        <v>0</v>
      </c>
      <c r="H226">
        <v>0</v>
      </c>
      <c r="I226" s="72">
        <f t="shared" si="6"/>
        <v>77.6275980091674</v>
      </c>
    </row>
    <row r="227" spans="1:9" x14ac:dyDescent="0.3">
      <c r="A227">
        <v>2033</v>
      </c>
      <c r="B227">
        <v>5</v>
      </c>
      <c r="C227">
        <v>31</v>
      </c>
      <c r="D227">
        <v>2033.414</v>
      </c>
      <c r="E227">
        <v>62.855827049509301</v>
      </c>
      <c r="F227">
        <v>14.888617014570499</v>
      </c>
      <c r="G227">
        <v>0</v>
      </c>
      <c r="H227">
        <v>0</v>
      </c>
      <c r="I227" s="72">
        <f t="shared" si="6"/>
        <v>77.744444064079801</v>
      </c>
    </row>
    <row r="228" spans="1:9" x14ac:dyDescent="0.3">
      <c r="A228">
        <v>2033</v>
      </c>
      <c r="B228">
        <v>6</v>
      </c>
      <c r="C228">
        <v>30</v>
      </c>
      <c r="D228">
        <v>2033.4960000000001</v>
      </c>
      <c r="E228">
        <v>62.943996561661997</v>
      </c>
      <c r="F228">
        <v>14.964055855514401</v>
      </c>
      <c r="G228">
        <v>0</v>
      </c>
      <c r="H228">
        <v>0</v>
      </c>
      <c r="I228" s="106">
        <f t="shared" si="6"/>
        <v>77.908052417176393</v>
      </c>
    </row>
    <row r="229" spans="1:9" x14ac:dyDescent="0.3">
      <c r="A229">
        <v>2033</v>
      </c>
      <c r="B229">
        <v>7</v>
      </c>
      <c r="C229">
        <v>31</v>
      </c>
      <c r="D229">
        <v>2033.5809999999999</v>
      </c>
      <c r="E229">
        <v>63.034773523965796</v>
      </c>
      <c r="F229">
        <v>15.0578800954539</v>
      </c>
      <c r="G229">
        <v>0</v>
      </c>
      <c r="H229">
        <v>0</v>
      </c>
      <c r="I229" s="72">
        <f t="shared" si="6"/>
        <v>78.092653619419693</v>
      </c>
    </row>
    <row r="230" spans="1:9" x14ac:dyDescent="0.3">
      <c r="A230">
        <v>2033</v>
      </c>
      <c r="B230">
        <v>8</v>
      </c>
      <c r="C230">
        <v>31</v>
      </c>
      <c r="D230">
        <v>2033.6659999999999</v>
      </c>
      <c r="E230">
        <v>63.1252152647834</v>
      </c>
      <c r="F230">
        <v>15.170900189925399</v>
      </c>
      <c r="G230">
        <v>0</v>
      </c>
      <c r="H230">
        <v>0</v>
      </c>
      <c r="I230" s="72">
        <f t="shared" si="6"/>
        <v>78.296115454708797</v>
      </c>
    </row>
    <row r="231" spans="1:9" x14ac:dyDescent="0.3">
      <c r="A231">
        <v>2033</v>
      </c>
      <c r="B231">
        <v>9</v>
      </c>
      <c r="C231">
        <v>30</v>
      </c>
      <c r="D231">
        <v>2033.748</v>
      </c>
      <c r="E231">
        <v>63.212422007608197</v>
      </c>
      <c r="F231">
        <v>15.2532546470037</v>
      </c>
      <c r="G231">
        <v>0</v>
      </c>
      <c r="H231">
        <v>0</v>
      </c>
      <c r="I231" s="72">
        <f t="shared" si="6"/>
        <v>78.465676654611897</v>
      </c>
    </row>
    <row r="232" spans="1:9" x14ac:dyDescent="0.3">
      <c r="A232">
        <v>2033</v>
      </c>
      <c r="B232">
        <v>10</v>
      </c>
      <c r="C232">
        <v>31</v>
      </c>
      <c r="D232">
        <v>2033.8330000000001</v>
      </c>
      <c r="E232">
        <v>63.302209232623902</v>
      </c>
      <c r="F232">
        <v>15.2511209954445</v>
      </c>
      <c r="G232">
        <v>0</v>
      </c>
      <c r="H232">
        <v>0</v>
      </c>
      <c r="I232" s="72">
        <f t="shared" si="6"/>
        <v>78.553330228068404</v>
      </c>
    </row>
    <row r="233" spans="1:9" x14ac:dyDescent="0.3">
      <c r="A233">
        <v>2033</v>
      </c>
      <c r="B233">
        <v>11</v>
      </c>
      <c r="C233">
        <v>30</v>
      </c>
      <c r="D233">
        <v>2033.915</v>
      </c>
      <c r="E233">
        <v>63.388756170025097</v>
      </c>
      <c r="F233">
        <v>15.2314269959854</v>
      </c>
      <c r="G233">
        <v>0</v>
      </c>
      <c r="H233">
        <v>0</v>
      </c>
      <c r="I233" s="72">
        <f t="shared" si="6"/>
        <v>78.620183166010492</v>
      </c>
    </row>
    <row r="234" spans="1:9" x14ac:dyDescent="0.3">
      <c r="A234">
        <v>2033</v>
      </c>
      <c r="B234">
        <v>12</v>
      </c>
      <c r="C234">
        <v>31</v>
      </c>
      <c r="D234">
        <v>2034</v>
      </c>
      <c r="E234">
        <v>63.477863996351402</v>
      </c>
      <c r="F234">
        <v>15.205934479739099</v>
      </c>
      <c r="G234">
        <v>0</v>
      </c>
      <c r="H234">
        <v>0</v>
      </c>
      <c r="I234" s="72">
        <f t="shared" si="6"/>
        <v>78.683798476090502</v>
      </c>
    </row>
    <row r="235" spans="1:9" x14ac:dyDescent="0.3">
      <c r="A235">
        <v>2034</v>
      </c>
      <c r="B235">
        <v>1</v>
      </c>
      <c r="C235">
        <v>31</v>
      </c>
      <c r="D235">
        <v>2034.085</v>
      </c>
      <c r="E235">
        <v>63.566645270410802</v>
      </c>
      <c r="F235">
        <v>15.1815384579376</v>
      </c>
      <c r="G235">
        <v>0</v>
      </c>
      <c r="H235">
        <v>0</v>
      </c>
      <c r="I235" s="72">
        <f t="shared" si="6"/>
        <v>78.748183728348408</v>
      </c>
    </row>
    <row r="236" spans="1:9" x14ac:dyDescent="0.3">
      <c r="A236">
        <v>2034</v>
      </c>
      <c r="B236">
        <v>2</v>
      </c>
      <c r="C236">
        <v>28</v>
      </c>
      <c r="D236">
        <v>2034.162</v>
      </c>
      <c r="E236">
        <v>63.646555543772003</v>
      </c>
      <c r="F236">
        <v>15.1639453787094</v>
      </c>
      <c r="G236">
        <v>0</v>
      </c>
      <c r="H236">
        <v>0</v>
      </c>
      <c r="I236" s="72">
        <f t="shared" si="6"/>
        <v>78.810500922481395</v>
      </c>
    </row>
    <row r="237" spans="1:9" x14ac:dyDescent="0.3">
      <c r="A237">
        <v>2034</v>
      </c>
      <c r="B237">
        <v>3</v>
      </c>
      <c r="C237">
        <v>31</v>
      </c>
      <c r="D237">
        <v>2034.2470000000001</v>
      </c>
      <c r="E237">
        <v>63.734720002377799</v>
      </c>
      <c r="F237">
        <v>15.159937202119901</v>
      </c>
      <c r="G237">
        <v>0</v>
      </c>
      <c r="H237">
        <v>0</v>
      </c>
      <c r="I237" s="72">
        <f t="shared" si="6"/>
        <v>78.894657204497705</v>
      </c>
    </row>
    <row r="238" spans="1:9" x14ac:dyDescent="0.3">
      <c r="A238">
        <v>2034</v>
      </c>
      <c r="B238">
        <v>4</v>
      </c>
      <c r="C238">
        <v>30</v>
      </c>
      <c r="D238">
        <v>2034.329</v>
      </c>
      <c r="E238">
        <v>63.819734178251601</v>
      </c>
      <c r="F238">
        <v>15.1742600042699</v>
      </c>
      <c r="G238">
        <v>0</v>
      </c>
      <c r="H238">
        <v>0</v>
      </c>
      <c r="I238" s="72">
        <f t="shared" si="6"/>
        <v>78.993994182521504</v>
      </c>
    </row>
    <row r="239" spans="1:9" x14ac:dyDescent="0.3">
      <c r="A239">
        <v>2034</v>
      </c>
      <c r="B239">
        <v>5</v>
      </c>
      <c r="C239">
        <v>31</v>
      </c>
      <c r="D239">
        <v>2034.414</v>
      </c>
      <c r="E239">
        <v>63.907267307373601</v>
      </c>
      <c r="F239">
        <v>15.1974251562558</v>
      </c>
      <c r="G239">
        <v>0</v>
      </c>
      <c r="H239">
        <v>0</v>
      </c>
      <c r="I239" s="72">
        <f t="shared" si="6"/>
        <v>79.104692463629405</v>
      </c>
    </row>
    <row r="240" spans="1:9" x14ac:dyDescent="0.3">
      <c r="A240">
        <v>2034</v>
      </c>
      <c r="B240">
        <v>6</v>
      </c>
      <c r="C240">
        <v>30</v>
      </c>
      <c r="D240">
        <v>2034.4960000000001</v>
      </c>
      <c r="E240">
        <v>63.991673636144803</v>
      </c>
      <c r="F240">
        <v>15.2715689605097</v>
      </c>
      <c r="G240">
        <v>0</v>
      </c>
      <c r="H240">
        <v>0</v>
      </c>
      <c r="I240" s="106">
        <f t="shared" si="6"/>
        <v>79.263242596654507</v>
      </c>
    </row>
    <row r="241" spans="1:9" x14ac:dyDescent="0.3">
      <c r="A241">
        <v>2034</v>
      </c>
      <c r="B241">
        <v>7</v>
      </c>
      <c r="C241">
        <v>31</v>
      </c>
      <c r="D241">
        <v>2034.5809999999999</v>
      </c>
      <c r="E241">
        <v>64.078581857163599</v>
      </c>
      <c r="F241">
        <v>15.364322372640601</v>
      </c>
      <c r="G241">
        <v>0</v>
      </c>
      <c r="H241">
        <v>0</v>
      </c>
      <c r="I241" s="72">
        <f t="shared" si="6"/>
        <v>79.442904229804199</v>
      </c>
    </row>
    <row r="242" spans="1:9" x14ac:dyDescent="0.3">
      <c r="A242">
        <v>2034</v>
      </c>
      <c r="B242">
        <v>8</v>
      </c>
      <c r="C242">
        <v>31</v>
      </c>
      <c r="D242">
        <v>2034.6659999999999</v>
      </c>
      <c r="E242">
        <v>64.165174937128995</v>
      </c>
      <c r="F242">
        <v>15.476621524165701</v>
      </c>
      <c r="G242">
        <v>0</v>
      </c>
      <c r="H242">
        <v>0</v>
      </c>
      <c r="I242" s="72">
        <f t="shared" si="6"/>
        <v>79.641796461294689</v>
      </c>
    </row>
    <row r="243" spans="1:9" x14ac:dyDescent="0.3">
      <c r="A243">
        <v>2034</v>
      </c>
      <c r="B243">
        <v>9</v>
      </c>
      <c r="C243">
        <v>30</v>
      </c>
      <c r="D243">
        <v>2034.748</v>
      </c>
      <c r="E243">
        <v>64.248676168539902</v>
      </c>
      <c r="F243">
        <v>15.5579077797892</v>
      </c>
      <c r="G243">
        <v>0</v>
      </c>
      <c r="H243">
        <v>0</v>
      </c>
      <c r="I243" s="72">
        <f t="shared" si="6"/>
        <v>79.806583948329106</v>
      </c>
    </row>
    <row r="244" spans="1:9" x14ac:dyDescent="0.3">
      <c r="A244">
        <v>2034</v>
      </c>
      <c r="B244">
        <v>10</v>
      </c>
      <c r="C244">
        <v>31</v>
      </c>
      <c r="D244">
        <v>2034.8330000000001</v>
      </c>
      <c r="E244">
        <v>64.334653874148998</v>
      </c>
      <c r="F244">
        <v>15.553277168652301</v>
      </c>
      <c r="G244">
        <v>0</v>
      </c>
      <c r="H244">
        <v>0</v>
      </c>
      <c r="I244" s="72">
        <f t="shared" si="6"/>
        <v>79.887931042801299</v>
      </c>
    </row>
    <row r="245" spans="1:9" x14ac:dyDescent="0.3">
      <c r="A245">
        <v>2034</v>
      </c>
      <c r="B245">
        <v>11</v>
      </c>
      <c r="C245">
        <v>30</v>
      </c>
      <c r="D245">
        <v>2034.915</v>
      </c>
      <c r="E245">
        <v>64.417535903889402</v>
      </c>
      <c r="F245">
        <v>15.530915319797099</v>
      </c>
      <c r="G245">
        <v>0</v>
      </c>
      <c r="H245">
        <v>0</v>
      </c>
      <c r="I245" s="72">
        <f t="shared" si="6"/>
        <v>79.948451223686504</v>
      </c>
    </row>
    <row r="246" spans="1:9" x14ac:dyDescent="0.3">
      <c r="A246">
        <v>2034</v>
      </c>
      <c r="B246">
        <v>12</v>
      </c>
      <c r="C246">
        <v>31</v>
      </c>
      <c r="D246">
        <v>2035</v>
      </c>
      <c r="E246">
        <v>64.502876017577194</v>
      </c>
      <c r="F246">
        <v>15.5026148000443</v>
      </c>
      <c r="G246">
        <v>0</v>
      </c>
      <c r="H246">
        <v>0</v>
      </c>
      <c r="I246" s="72">
        <f t="shared" si="6"/>
        <v>80.005490817621492</v>
      </c>
    </row>
    <row r="247" spans="1:9" x14ac:dyDescent="0.3">
      <c r="A247">
        <v>2035</v>
      </c>
      <c r="B247">
        <v>1</v>
      </c>
      <c r="C247">
        <v>31</v>
      </c>
      <c r="D247">
        <v>2035.085</v>
      </c>
      <c r="E247">
        <v>64.587909024685203</v>
      </c>
      <c r="F247">
        <v>15.4754575112333</v>
      </c>
      <c r="G247">
        <v>0</v>
      </c>
      <c r="H247">
        <v>0</v>
      </c>
      <c r="I247" s="72">
        <f t="shared" si="6"/>
        <v>80.063366535918504</v>
      </c>
    </row>
    <row r="248" spans="1:9" x14ac:dyDescent="0.3">
      <c r="A248">
        <v>2035</v>
      </c>
      <c r="B248">
        <v>2</v>
      </c>
      <c r="C248">
        <v>28</v>
      </c>
      <c r="D248">
        <v>2035.162</v>
      </c>
      <c r="E248">
        <v>64.664450378011594</v>
      </c>
      <c r="F248">
        <v>15.4554607382324</v>
      </c>
      <c r="G248">
        <v>0</v>
      </c>
      <c r="H248">
        <v>0</v>
      </c>
      <c r="I248" s="72">
        <f t="shared" si="6"/>
        <v>80.119911116243998</v>
      </c>
    </row>
    <row r="249" spans="1:9" x14ac:dyDescent="0.3">
      <c r="A249">
        <v>2035</v>
      </c>
      <c r="B249">
        <v>3</v>
      </c>
      <c r="C249">
        <v>31</v>
      </c>
      <c r="D249">
        <v>2035.2470000000001</v>
      </c>
      <c r="E249">
        <v>64.748903239245706</v>
      </c>
      <c r="F249">
        <v>15.449049941945701</v>
      </c>
      <c r="G249">
        <v>0</v>
      </c>
      <c r="H249">
        <v>0</v>
      </c>
      <c r="I249" s="72">
        <f t="shared" si="6"/>
        <v>80.197953181191409</v>
      </c>
    </row>
    <row r="250" spans="1:9" x14ac:dyDescent="0.3">
      <c r="A250">
        <v>2035</v>
      </c>
      <c r="B250">
        <v>4</v>
      </c>
      <c r="C250">
        <v>30</v>
      </c>
      <c r="D250">
        <v>2035.329</v>
      </c>
      <c r="E250">
        <v>64.830343724177496</v>
      </c>
      <c r="F250">
        <v>15.4613532393813</v>
      </c>
      <c r="G250">
        <v>0</v>
      </c>
      <c r="H250">
        <v>0</v>
      </c>
      <c r="I250" s="72">
        <f t="shared" si="6"/>
        <v>80.291696963558792</v>
      </c>
    </row>
    <row r="251" spans="1:9" x14ac:dyDescent="0.3">
      <c r="A251">
        <v>2035</v>
      </c>
      <c r="B251">
        <v>5</v>
      </c>
      <c r="C251">
        <v>31</v>
      </c>
      <c r="D251">
        <v>2035.414</v>
      </c>
      <c r="E251">
        <v>64.914202705052006</v>
      </c>
      <c r="F251">
        <v>15.4825550688979</v>
      </c>
      <c r="G251">
        <v>0</v>
      </c>
      <c r="H251">
        <v>0</v>
      </c>
      <c r="I251" s="72">
        <f t="shared" si="6"/>
        <v>80.396757773949901</v>
      </c>
    </row>
    <row r="252" spans="1:9" x14ac:dyDescent="0.3">
      <c r="A252">
        <v>2035</v>
      </c>
      <c r="B252">
        <v>6</v>
      </c>
      <c r="C252">
        <v>30</v>
      </c>
      <c r="D252">
        <v>2035.4960000000001</v>
      </c>
      <c r="E252">
        <v>64.995071358207795</v>
      </c>
      <c r="F252">
        <v>15.5555989165703</v>
      </c>
      <c r="G252">
        <v>0</v>
      </c>
      <c r="H252">
        <v>0</v>
      </c>
      <c r="I252" s="106">
        <f t="shared" si="6"/>
        <v>80.550670274778099</v>
      </c>
    </row>
    <row r="253" spans="1:9" x14ac:dyDescent="0.3">
      <c r="A253">
        <v>2035</v>
      </c>
      <c r="B253">
        <v>7</v>
      </c>
      <c r="C253">
        <v>31</v>
      </c>
      <c r="D253">
        <v>2035.5809999999999</v>
      </c>
      <c r="E253">
        <v>65.078342415101105</v>
      </c>
      <c r="F253">
        <v>15.647459673497099</v>
      </c>
      <c r="G253">
        <v>0</v>
      </c>
      <c r="H253">
        <v>0</v>
      </c>
      <c r="I253" s="72">
        <f t="shared" si="6"/>
        <v>80.725802088598201</v>
      </c>
    </row>
    <row r="254" spans="1:9" x14ac:dyDescent="0.3">
      <c r="A254">
        <v>2035</v>
      </c>
      <c r="B254">
        <v>8</v>
      </c>
      <c r="C254">
        <v>31</v>
      </c>
      <c r="D254">
        <v>2035.6659999999999</v>
      </c>
      <c r="E254">
        <v>65.161316949942304</v>
      </c>
      <c r="F254">
        <v>15.759186303307899</v>
      </c>
      <c r="G254">
        <v>0</v>
      </c>
      <c r="H254">
        <v>0</v>
      </c>
      <c r="I254" s="72">
        <f t="shared" si="6"/>
        <v>80.920503253250203</v>
      </c>
    </row>
    <row r="255" spans="1:9" x14ac:dyDescent="0.3">
      <c r="A255">
        <v>2035</v>
      </c>
      <c r="B255">
        <v>9</v>
      </c>
      <c r="C255">
        <v>30</v>
      </c>
      <c r="D255">
        <v>2035.748</v>
      </c>
      <c r="E255">
        <v>65.241333980414893</v>
      </c>
      <c r="F255">
        <v>15.839574592498799</v>
      </c>
      <c r="G255">
        <v>0</v>
      </c>
      <c r="H255">
        <v>0</v>
      </c>
      <c r="I255" s="72">
        <f t="shared" si="6"/>
        <v>81.0809085729137</v>
      </c>
    </row>
    <row r="256" spans="1:9" x14ac:dyDescent="0.3">
      <c r="A256">
        <v>2035</v>
      </c>
      <c r="B256">
        <v>10</v>
      </c>
      <c r="C256">
        <v>31</v>
      </c>
      <c r="D256">
        <v>2035.8330000000001</v>
      </c>
      <c r="E256">
        <v>65.323729435445799</v>
      </c>
      <c r="F256">
        <v>15.832728621311301</v>
      </c>
      <c r="G256">
        <v>0</v>
      </c>
      <c r="H256">
        <v>0</v>
      </c>
      <c r="I256" s="72">
        <f t="shared" si="6"/>
        <v>81.156458056757103</v>
      </c>
    </row>
    <row r="257" spans="1:9" x14ac:dyDescent="0.3">
      <c r="A257">
        <v>2035</v>
      </c>
      <c r="B257">
        <v>11</v>
      </c>
      <c r="C257">
        <v>30</v>
      </c>
      <c r="D257">
        <v>2035.915</v>
      </c>
      <c r="E257">
        <v>65.403165604386601</v>
      </c>
      <c r="F257">
        <v>15.807988479731</v>
      </c>
      <c r="G257">
        <v>0</v>
      </c>
      <c r="H257">
        <v>0</v>
      </c>
      <c r="I257" s="72">
        <f t="shared" si="6"/>
        <v>81.211154084117595</v>
      </c>
    </row>
    <row r="258" spans="1:9" x14ac:dyDescent="0.3">
      <c r="A258">
        <v>2035</v>
      </c>
      <c r="B258">
        <v>12</v>
      </c>
      <c r="C258">
        <v>31</v>
      </c>
      <c r="D258">
        <v>2036</v>
      </c>
      <c r="E258">
        <v>65.484962083074507</v>
      </c>
      <c r="F258">
        <v>15.7771806374738</v>
      </c>
      <c r="G258">
        <v>0</v>
      </c>
      <c r="H258">
        <v>0</v>
      </c>
      <c r="I258" s="72">
        <f t="shared" si="6"/>
        <v>81.262142720548312</v>
      </c>
    </row>
    <row r="259" spans="1:9" x14ac:dyDescent="0.3">
      <c r="A259">
        <v>2036</v>
      </c>
      <c r="B259">
        <v>1</v>
      </c>
      <c r="C259">
        <v>31</v>
      </c>
      <c r="D259">
        <v>2036.085</v>
      </c>
      <c r="E259">
        <v>65.566469489538605</v>
      </c>
      <c r="F259">
        <v>15.7475567386</v>
      </c>
      <c r="G259">
        <v>0</v>
      </c>
      <c r="H259">
        <v>0</v>
      </c>
      <c r="I259" s="72">
        <f t="shared" si="6"/>
        <v>81.314026228138601</v>
      </c>
    </row>
    <row r="260" spans="1:9" x14ac:dyDescent="0.3">
      <c r="A260">
        <v>2036</v>
      </c>
      <c r="B260">
        <v>2</v>
      </c>
      <c r="C260">
        <v>29</v>
      </c>
      <c r="D260">
        <v>2036.164</v>
      </c>
      <c r="E260">
        <v>65.642457950541797</v>
      </c>
      <c r="F260">
        <v>15.725021006354099</v>
      </c>
      <c r="G260">
        <v>0</v>
      </c>
      <c r="H260">
        <v>0</v>
      </c>
      <c r="I260" s="72">
        <f t="shared" si="6"/>
        <v>81.367478956895894</v>
      </c>
    </row>
    <row r="261" spans="1:9" x14ac:dyDescent="0.3">
      <c r="A261">
        <v>2036</v>
      </c>
      <c r="B261">
        <v>3</v>
      </c>
      <c r="C261">
        <v>31</v>
      </c>
      <c r="D261">
        <v>2036.249</v>
      </c>
      <c r="E261">
        <v>65.723410009921395</v>
      </c>
      <c r="F261">
        <v>15.7172184354566</v>
      </c>
      <c r="G261">
        <v>0</v>
      </c>
      <c r="H261">
        <v>0</v>
      </c>
      <c r="I261" s="72">
        <f t="shared" si="6"/>
        <v>81.440628445377996</v>
      </c>
    </row>
    <row r="262" spans="1:9" x14ac:dyDescent="0.3">
      <c r="A262">
        <v>2036</v>
      </c>
      <c r="B262">
        <v>4</v>
      </c>
      <c r="C262">
        <v>30</v>
      </c>
      <c r="D262">
        <v>2036.3309999999999</v>
      </c>
      <c r="E262">
        <v>65.801479526405203</v>
      </c>
      <c r="F262">
        <v>15.727685243386</v>
      </c>
      <c r="G262">
        <v>0</v>
      </c>
      <c r="H262">
        <v>0</v>
      </c>
      <c r="I262" s="72">
        <f t="shared" si="6"/>
        <v>81.529164769791208</v>
      </c>
    </row>
    <row r="263" spans="1:9" x14ac:dyDescent="0.3">
      <c r="A263">
        <v>2036</v>
      </c>
      <c r="B263">
        <v>5</v>
      </c>
      <c r="C263">
        <v>31</v>
      </c>
      <c r="D263">
        <v>2036.415</v>
      </c>
      <c r="E263">
        <v>65.881872532265007</v>
      </c>
      <c r="F263">
        <v>15.7491966681209</v>
      </c>
      <c r="G263">
        <v>0</v>
      </c>
      <c r="H263">
        <v>0</v>
      </c>
      <c r="I263" s="72">
        <f t="shared" si="6"/>
        <v>81.631069200385909</v>
      </c>
    </row>
    <row r="264" spans="1:9" x14ac:dyDescent="0.3">
      <c r="A264">
        <v>2036</v>
      </c>
      <c r="B264">
        <v>6</v>
      </c>
      <c r="C264">
        <v>30</v>
      </c>
      <c r="D264">
        <v>2036.4970000000001</v>
      </c>
      <c r="E264">
        <v>65.959403711746305</v>
      </c>
      <c r="F264">
        <v>15.821748515619699</v>
      </c>
      <c r="G264">
        <v>0</v>
      </c>
      <c r="H264">
        <v>0</v>
      </c>
      <c r="I264" s="106">
        <f t="shared" si="6"/>
        <v>81.781152227366007</v>
      </c>
    </row>
    <row r="265" spans="1:9" x14ac:dyDescent="0.3">
      <c r="A265">
        <v>2036</v>
      </c>
      <c r="B265">
        <v>7</v>
      </c>
      <c r="C265">
        <v>31</v>
      </c>
      <c r="D265">
        <v>2036.5820000000001</v>
      </c>
      <c r="E265">
        <v>66.039243190789193</v>
      </c>
      <c r="F265">
        <v>15.9137523025917</v>
      </c>
      <c r="G265">
        <v>0</v>
      </c>
      <c r="H265">
        <v>0</v>
      </c>
      <c r="I265" s="72">
        <f t="shared" si="6"/>
        <v>81.952995493380897</v>
      </c>
    </row>
    <row r="266" spans="1:9" x14ac:dyDescent="0.3">
      <c r="A266">
        <v>2036</v>
      </c>
      <c r="B266">
        <v>8</v>
      </c>
      <c r="C266">
        <v>31</v>
      </c>
      <c r="D266">
        <v>2036.6669999999999</v>
      </c>
      <c r="E266">
        <v>66.118803465510197</v>
      </c>
      <c r="F266">
        <v>16.0246178976609</v>
      </c>
      <c r="G266">
        <v>0</v>
      </c>
      <c r="H266">
        <v>0</v>
      </c>
      <c r="I266" s="72">
        <f t="shared" si="6"/>
        <v>82.1434213631711</v>
      </c>
    </row>
    <row r="267" spans="1:9" x14ac:dyDescent="0.3">
      <c r="A267">
        <v>2036</v>
      </c>
      <c r="B267">
        <v>9</v>
      </c>
      <c r="C267">
        <v>30</v>
      </c>
      <c r="D267">
        <v>2036.749</v>
      </c>
      <c r="E267">
        <v>66.195532759674606</v>
      </c>
      <c r="F267">
        <v>16.100787826774301</v>
      </c>
      <c r="G267">
        <v>0</v>
      </c>
      <c r="H267">
        <v>0</v>
      </c>
      <c r="I267" s="72">
        <f t="shared" ref="I267:I311" si="7">E267+F267</f>
        <v>82.2963205864489</v>
      </c>
    </row>
    <row r="268" spans="1:9" x14ac:dyDescent="0.3">
      <c r="A268">
        <v>2036</v>
      </c>
      <c r="B268">
        <v>10</v>
      </c>
      <c r="C268">
        <v>31</v>
      </c>
      <c r="D268">
        <v>2036.8330000000001</v>
      </c>
      <c r="E268">
        <v>66.274547714706003</v>
      </c>
      <c r="F268">
        <v>16.091249961522699</v>
      </c>
      <c r="G268">
        <v>0</v>
      </c>
      <c r="H268">
        <v>0</v>
      </c>
      <c r="I268" s="72">
        <f t="shared" si="7"/>
        <v>82.365797676228709</v>
      </c>
    </row>
    <row r="269" spans="1:9" x14ac:dyDescent="0.3">
      <c r="A269">
        <v>2036</v>
      </c>
      <c r="B269">
        <v>11</v>
      </c>
      <c r="C269">
        <v>30</v>
      </c>
      <c r="D269">
        <v>2036.915</v>
      </c>
      <c r="E269">
        <v>66.350730081119906</v>
      </c>
      <c r="F269">
        <v>16.064159133701398</v>
      </c>
      <c r="G269">
        <v>0</v>
      </c>
      <c r="H269">
        <v>0</v>
      </c>
      <c r="I269" s="72">
        <f t="shared" si="7"/>
        <v>82.414889214821301</v>
      </c>
    </row>
    <row r="270" spans="1:9" x14ac:dyDescent="0.3">
      <c r="A270">
        <v>2036</v>
      </c>
      <c r="B270">
        <v>12</v>
      </c>
      <c r="C270">
        <v>31</v>
      </c>
      <c r="D270">
        <v>2037</v>
      </c>
      <c r="E270">
        <v>66.429181849798695</v>
      </c>
      <c r="F270">
        <v>16.031112755650099</v>
      </c>
      <c r="G270">
        <v>0</v>
      </c>
      <c r="H270">
        <v>0</v>
      </c>
      <c r="I270" s="72">
        <f t="shared" si="7"/>
        <v>82.460294605448794</v>
      </c>
    </row>
    <row r="271" spans="1:9" x14ac:dyDescent="0.3">
      <c r="A271">
        <v>2037</v>
      </c>
      <c r="B271">
        <v>1</v>
      </c>
      <c r="C271">
        <v>31</v>
      </c>
      <c r="D271">
        <v>2037.085</v>
      </c>
      <c r="E271">
        <v>66.507361324618699</v>
      </c>
      <c r="F271">
        <v>15.9993956541472</v>
      </c>
      <c r="G271">
        <v>0</v>
      </c>
      <c r="H271">
        <v>0</v>
      </c>
      <c r="I271" s="72">
        <f t="shared" si="7"/>
        <v>82.506756978765907</v>
      </c>
    </row>
    <row r="272" spans="1:9" x14ac:dyDescent="0.3">
      <c r="A272">
        <v>2037</v>
      </c>
      <c r="B272">
        <v>2</v>
      </c>
      <c r="C272">
        <v>28</v>
      </c>
      <c r="D272">
        <v>2037.162</v>
      </c>
      <c r="E272">
        <v>66.577742131082005</v>
      </c>
      <c r="F272">
        <v>15.9758044253509</v>
      </c>
      <c r="G272">
        <v>0</v>
      </c>
      <c r="H272">
        <v>0</v>
      </c>
      <c r="I272" s="72">
        <f t="shared" si="7"/>
        <v>82.553546556432906</v>
      </c>
    </row>
    <row r="273" spans="1:9" x14ac:dyDescent="0.3">
      <c r="A273">
        <v>2037</v>
      </c>
      <c r="B273">
        <v>3</v>
      </c>
      <c r="C273">
        <v>31</v>
      </c>
      <c r="D273">
        <v>2037.2470000000001</v>
      </c>
      <c r="E273">
        <v>66.655407113649304</v>
      </c>
      <c r="F273">
        <v>15.9660912785166</v>
      </c>
      <c r="G273">
        <v>0</v>
      </c>
      <c r="H273">
        <v>0</v>
      </c>
      <c r="I273" s="72">
        <f t="shared" si="7"/>
        <v>82.621498392165904</v>
      </c>
    </row>
    <row r="274" spans="1:9" x14ac:dyDescent="0.3">
      <c r="A274">
        <v>2037</v>
      </c>
      <c r="B274">
        <v>4</v>
      </c>
      <c r="C274">
        <v>30</v>
      </c>
      <c r="D274">
        <v>2037.329</v>
      </c>
      <c r="E274">
        <v>66.730311231821403</v>
      </c>
      <c r="F274">
        <v>15.9749584824275</v>
      </c>
      <c r="G274">
        <v>0</v>
      </c>
      <c r="H274">
        <v>0</v>
      </c>
      <c r="I274" s="72">
        <f t="shared" si="7"/>
        <v>82.7052697142489</v>
      </c>
    </row>
    <row r="275" spans="1:9" x14ac:dyDescent="0.3">
      <c r="A275">
        <v>2037</v>
      </c>
      <c r="B275">
        <v>5</v>
      </c>
      <c r="C275">
        <v>31</v>
      </c>
      <c r="D275">
        <v>2037.414</v>
      </c>
      <c r="E275">
        <v>66.807449391461901</v>
      </c>
      <c r="F275">
        <v>15.9949456105638</v>
      </c>
      <c r="G275">
        <v>0</v>
      </c>
      <c r="H275">
        <v>0</v>
      </c>
      <c r="I275" s="72">
        <f t="shared" si="7"/>
        <v>82.802395002025705</v>
      </c>
    </row>
    <row r="276" spans="1:9" x14ac:dyDescent="0.3">
      <c r="A276">
        <v>2037</v>
      </c>
      <c r="B276">
        <v>6</v>
      </c>
      <c r="C276">
        <v>30</v>
      </c>
      <c r="D276">
        <v>2037.4960000000001</v>
      </c>
      <c r="E276">
        <v>66.8818461719667</v>
      </c>
      <c r="F276">
        <v>16.066688929900501</v>
      </c>
      <c r="G276">
        <v>0</v>
      </c>
      <c r="H276">
        <v>0</v>
      </c>
      <c r="I276" s="106">
        <f t="shared" si="7"/>
        <v>82.948535101867208</v>
      </c>
    </row>
    <row r="277" spans="1:9" x14ac:dyDescent="0.3">
      <c r="A277">
        <v>2037</v>
      </c>
      <c r="B277">
        <v>7</v>
      </c>
      <c r="C277">
        <v>31</v>
      </c>
      <c r="D277">
        <v>2037.5809999999999</v>
      </c>
      <c r="E277">
        <v>66.958462640853895</v>
      </c>
      <c r="F277">
        <v>16.1580694997911</v>
      </c>
      <c r="G277">
        <v>0</v>
      </c>
      <c r="H277">
        <v>0</v>
      </c>
      <c r="I277" s="72">
        <f t="shared" si="7"/>
        <v>83.116532140644992</v>
      </c>
    </row>
    <row r="278" spans="1:9" x14ac:dyDescent="0.3">
      <c r="A278">
        <v>2037</v>
      </c>
      <c r="B278">
        <v>8</v>
      </c>
      <c r="C278">
        <v>31</v>
      </c>
      <c r="D278">
        <v>2037.6659999999999</v>
      </c>
      <c r="E278">
        <v>67.034815934936503</v>
      </c>
      <c r="F278">
        <v>16.268569347820801</v>
      </c>
      <c r="G278">
        <v>0</v>
      </c>
      <c r="H278">
        <v>0</v>
      </c>
      <c r="I278" s="72">
        <f t="shared" si="7"/>
        <v>83.303385282757304</v>
      </c>
    </row>
    <row r="279" spans="1:9" x14ac:dyDescent="0.3">
      <c r="A279">
        <v>2037</v>
      </c>
      <c r="B279">
        <v>9</v>
      </c>
      <c r="C279">
        <v>30</v>
      </c>
      <c r="D279">
        <v>2037.748</v>
      </c>
      <c r="E279">
        <v>67.108456867681397</v>
      </c>
      <c r="F279">
        <v>16.344048278668499</v>
      </c>
      <c r="G279">
        <v>0</v>
      </c>
      <c r="H279">
        <v>0</v>
      </c>
      <c r="I279" s="72">
        <f t="shared" si="7"/>
        <v>83.452505146349893</v>
      </c>
    </row>
    <row r="280" spans="1:9" x14ac:dyDescent="0.3">
      <c r="A280">
        <v>2037</v>
      </c>
      <c r="B280">
        <v>10</v>
      </c>
      <c r="C280">
        <v>31</v>
      </c>
      <c r="D280">
        <v>2037.8330000000001</v>
      </c>
      <c r="E280">
        <v>67.184296093284004</v>
      </c>
      <c r="F280">
        <v>16.332715658487199</v>
      </c>
      <c r="G280">
        <v>0</v>
      </c>
      <c r="H280">
        <v>0</v>
      </c>
      <c r="I280" s="72">
        <f t="shared" si="7"/>
        <v>83.517011751771207</v>
      </c>
    </row>
    <row r="281" spans="1:9" x14ac:dyDescent="0.3">
      <c r="A281">
        <v>2037</v>
      </c>
      <c r="B281">
        <v>11</v>
      </c>
      <c r="C281">
        <v>30</v>
      </c>
      <c r="D281">
        <v>2037.915</v>
      </c>
      <c r="E281">
        <v>67.257422184536196</v>
      </c>
      <c r="F281">
        <v>16.303687878140799</v>
      </c>
      <c r="G281">
        <v>0</v>
      </c>
      <c r="H281">
        <v>0</v>
      </c>
      <c r="I281" s="72">
        <f t="shared" si="7"/>
        <v>83.561110062676988</v>
      </c>
    </row>
    <row r="282" spans="1:9" x14ac:dyDescent="0.3">
      <c r="A282">
        <v>2037</v>
      </c>
      <c r="B282">
        <v>12</v>
      </c>
      <c r="C282">
        <v>31</v>
      </c>
      <c r="D282">
        <v>2038</v>
      </c>
      <c r="E282">
        <v>67.332731253393504</v>
      </c>
      <c r="F282">
        <v>16.268596610197601</v>
      </c>
      <c r="G282">
        <v>0</v>
      </c>
      <c r="H282">
        <v>0</v>
      </c>
      <c r="I282" s="72">
        <f t="shared" si="7"/>
        <v>83.601327863591109</v>
      </c>
    </row>
    <row r="283" spans="1:9" x14ac:dyDescent="0.3">
      <c r="A283">
        <v>2038</v>
      </c>
      <c r="B283">
        <v>1</v>
      </c>
      <c r="C283">
        <v>31</v>
      </c>
      <c r="D283">
        <v>2038.085</v>
      </c>
      <c r="E283">
        <v>67.407783563281598</v>
      </c>
      <c r="F283">
        <v>16.2348679796014</v>
      </c>
      <c r="G283">
        <v>0</v>
      </c>
      <c r="H283">
        <v>0</v>
      </c>
      <c r="I283" s="72">
        <f t="shared" si="7"/>
        <v>83.642651542883002</v>
      </c>
    </row>
    <row r="284" spans="1:9" x14ac:dyDescent="0.3">
      <c r="A284">
        <v>2038</v>
      </c>
      <c r="B284">
        <v>2</v>
      </c>
      <c r="C284">
        <v>28</v>
      </c>
      <c r="D284">
        <v>2038.162</v>
      </c>
      <c r="E284">
        <v>67.475353106082594</v>
      </c>
      <c r="F284">
        <v>16.2095320580794</v>
      </c>
      <c r="G284">
        <v>0</v>
      </c>
      <c r="H284">
        <v>0</v>
      </c>
      <c r="I284" s="72">
        <f t="shared" si="7"/>
        <v>83.684885164161997</v>
      </c>
    </row>
    <row r="285" spans="1:9" x14ac:dyDescent="0.3">
      <c r="A285">
        <v>2038</v>
      </c>
      <c r="B285">
        <v>3</v>
      </c>
      <c r="C285">
        <v>31</v>
      </c>
      <c r="D285">
        <v>2038.2470000000001</v>
      </c>
      <c r="E285">
        <v>67.549920224467698</v>
      </c>
      <c r="F285">
        <v>16.198092285430299</v>
      </c>
      <c r="G285">
        <v>0</v>
      </c>
      <c r="H285">
        <v>0</v>
      </c>
      <c r="I285" s="72">
        <f t="shared" si="7"/>
        <v>83.74801250989799</v>
      </c>
    </row>
    <row r="286" spans="1:9" x14ac:dyDescent="0.3">
      <c r="A286">
        <v>2038</v>
      </c>
      <c r="B286">
        <v>4</v>
      </c>
      <c r="C286">
        <v>30</v>
      </c>
      <c r="D286">
        <v>2038.329</v>
      </c>
      <c r="E286">
        <v>67.621840937221194</v>
      </c>
      <c r="F286">
        <v>16.205520007101999</v>
      </c>
      <c r="G286">
        <v>0</v>
      </c>
      <c r="H286">
        <v>0</v>
      </c>
      <c r="I286" s="72">
        <f t="shared" si="7"/>
        <v>83.827360944323189</v>
      </c>
    </row>
    <row r="287" spans="1:9" x14ac:dyDescent="0.3">
      <c r="A287">
        <v>2038</v>
      </c>
      <c r="B287">
        <v>5</v>
      </c>
      <c r="C287">
        <v>31</v>
      </c>
      <c r="D287">
        <v>2038.414</v>
      </c>
      <c r="E287">
        <v>67.695911164607594</v>
      </c>
      <c r="F287">
        <v>16.224138562761802</v>
      </c>
      <c r="G287">
        <v>0</v>
      </c>
      <c r="H287">
        <v>0</v>
      </c>
      <c r="I287" s="72">
        <f t="shared" si="7"/>
        <v>83.920049727369388</v>
      </c>
    </row>
    <row r="288" spans="1:9" x14ac:dyDescent="0.3">
      <c r="A288">
        <v>2038</v>
      </c>
      <c r="B288">
        <v>6</v>
      </c>
      <c r="C288">
        <v>30</v>
      </c>
      <c r="D288">
        <v>2038.4960000000001</v>
      </c>
      <c r="E288">
        <v>67.767353329768</v>
      </c>
      <c r="F288">
        <v>16.295178886931701</v>
      </c>
      <c r="G288">
        <v>0</v>
      </c>
      <c r="H288">
        <v>0</v>
      </c>
      <c r="I288" s="106">
        <f t="shared" si="7"/>
        <v>84.062532216699708</v>
      </c>
    </row>
    <row r="289" spans="1:9" x14ac:dyDescent="0.3">
      <c r="A289">
        <v>2038</v>
      </c>
      <c r="B289">
        <v>7</v>
      </c>
      <c r="C289">
        <v>31</v>
      </c>
      <c r="D289">
        <v>2038.5809999999999</v>
      </c>
      <c r="E289">
        <v>67.840931435220398</v>
      </c>
      <c r="F289">
        <v>16.3860302575433</v>
      </c>
      <c r="G289">
        <v>0</v>
      </c>
      <c r="H289">
        <v>0</v>
      </c>
      <c r="I289" s="72">
        <f t="shared" si="7"/>
        <v>84.226961692763695</v>
      </c>
    </row>
    <row r="290" spans="1:9" x14ac:dyDescent="0.3">
      <c r="A290">
        <v>2038</v>
      </c>
      <c r="B290">
        <v>8</v>
      </c>
      <c r="C290">
        <v>31</v>
      </c>
      <c r="D290">
        <v>2038.6659999999999</v>
      </c>
      <c r="E290">
        <v>67.9142612550894</v>
      </c>
      <c r="F290">
        <v>16.496240438154999</v>
      </c>
      <c r="G290">
        <v>0</v>
      </c>
      <c r="H290">
        <v>0</v>
      </c>
      <c r="I290" s="72">
        <f t="shared" si="7"/>
        <v>84.410501693244399</v>
      </c>
    </row>
    <row r="291" spans="1:9" x14ac:dyDescent="0.3">
      <c r="A291">
        <v>2038</v>
      </c>
      <c r="B291">
        <v>9</v>
      </c>
      <c r="C291">
        <v>30</v>
      </c>
      <c r="D291">
        <v>2038.748</v>
      </c>
      <c r="E291">
        <v>67.984990335057304</v>
      </c>
      <c r="F291">
        <v>16.5711227645292</v>
      </c>
      <c r="G291">
        <v>0</v>
      </c>
      <c r="H291">
        <v>0</v>
      </c>
      <c r="I291" s="72">
        <f t="shared" si="7"/>
        <v>84.556113099586497</v>
      </c>
    </row>
    <row r="292" spans="1:9" x14ac:dyDescent="0.3">
      <c r="A292">
        <v>2038</v>
      </c>
      <c r="B292">
        <v>10</v>
      </c>
      <c r="C292">
        <v>31</v>
      </c>
      <c r="D292">
        <v>2038.8330000000001</v>
      </c>
      <c r="E292">
        <v>68.057835117026201</v>
      </c>
      <c r="F292">
        <v>16.5581617673392</v>
      </c>
      <c r="G292">
        <v>0</v>
      </c>
      <c r="H292">
        <v>0</v>
      </c>
      <c r="I292" s="72">
        <f t="shared" si="7"/>
        <v>84.615996884365401</v>
      </c>
    </row>
    <row r="293" spans="1:9" x14ac:dyDescent="0.3">
      <c r="A293">
        <v>2038</v>
      </c>
      <c r="B293">
        <v>11</v>
      </c>
      <c r="C293">
        <v>30</v>
      </c>
      <c r="D293">
        <v>2038.915</v>
      </c>
      <c r="E293">
        <v>68.128079077753497</v>
      </c>
      <c r="F293">
        <v>16.527369860247799</v>
      </c>
      <c r="G293">
        <v>0</v>
      </c>
      <c r="H293">
        <v>0</v>
      </c>
      <c r="I293" s="72">
        <f t="shared" si="7"/>
        <v>84.6554489380013</v>
      </c>
    </row>
    <row r="294" spans="1:9" x14ac:dyDescent="0.3">
      <c r="A294">
        <v>2038</v>
      </c>
      <c r="B294">
        <v>12</v>
      </c>
      <c r="C294">
        <v>31</v>
      </c>
      <c r="D294">
        <v>2039</v>
      </c>
      <c r="E294">
        <v>68.200424297824497</v>
      </c>
      <c r="F294">
        <v>16.4904139747937</v>
      </c>
      <c r="G294">
        <v>0</v>
      </c>
      <c r="H294">
        <v>0</v>
      </c>
      <c r="I294" s="72">
        <f t="shared" si="7"/>
        <v>84.690838272618194</v>
      </c>
    </row>
    <row r="295" spans="1:9" x14ac:dyDescent="0.3">
      <c r="A295">
        <v>2039</v>
      </c>
      <c r="B295">
        <v>1</v>
      </c>
      <c r="C295">
        <v>31</v>
      </c>
      <c r="D295">
        <v>2039.085</v>
      </c>
      <c r="E295">
        <v>68.272527193382601</v>
      </c>
      <c r="F295">
        <v>16.4548508530665</v>
      </c>
      <c r="G295">
        <v>0</v>
      </c>
      <c r="H295">
        <v>0</v>
      </c>
      <c r="I295" s="72">
        <f t="shared" si="7"/>
        <v>84.727378046449104</v>
      </c>
    </row>
    <row r="296" spans="1:9" x14ac:dyDescent="0.3">
      <c r="A296">
        <v>2039</v>
      </c>
      <c r="B296">
        <v>2</v>
      </c>
      <c r="C296">
        <v>28</v>
      </c>
      <c r="D296">
        <v>2039.162</v>
      </c>
      <c r="E296">
        <v>68.337445082000798</v>
      </c>
      <c r="F296">
        <v>16.427924618563999</v>
      </c>
      <c r="G296">
        <v>0</v>
      </c>
      <c r="H296">
        <v>0</v>
      </c>
      <c r="I296" s="72">
        <f t="shared" si="7"/>
        <v>84.765369700564804</v>
      </c>
    </row>
    <row r="297" spans="1:9" x14ac:dyDescent="0.3">
      <c r="A297">
        <v>2039</v>
      </c>
      <c r="B297">
        <v>3</v>
      </c>
      <c r="C297">
        <v>31</v>
      </c>
      <c r="D297">
        <v>2039.2470000000001</v>
      </c>
      <c r="E297">
        <v>68.409090013625701</v>
      </c>
      <c r="F297">
        <v>16.414915121130502</v>
      </c>
      <c r="G297">
        <v>0</v>
      </c>
      <c r="H297">
        <v>0</v>
      </c>
      <c r="I297" s="72">
        <f t="shared" si="7"/>
        <v>84.824005134756206</v>
      </c>
    </row>
    <row r="298" spans="1:9" x14ac:dyDescent="0.3">
      <c r="A298">
        <v>2039</v>
      </c>
      <c r="B298">
        <v>4</v>
      </c>
      <c r="C298">
        <v>30</v>
      </c>
      <c r="D298">
        <v>2039.329</v>
      </c>
      <c r="E298">
        <v>68.478196304643603</v>
      </c>
      <c r="F298">
        <v>16.421039552736101</v>
      </c>
      <c r="G298">
        <v>0</v>
      </c>
      <c r="H298">
        <v>0</v>
      </c>
      <c r="I298" s="72">
        <f t="shared" si="7"/>
        <v>84.899235857379708</v>
      </c>
    </row>
    <row r="299" spans="1:9" x14ac:dyDescent="0.3">
      <c r="A299">
        <v>2039</v>
      </c>
      <c r="B299">
        <v>5</v>
      </c>
      <c r="C299">
        <v>31</v>
      </c>
      <c r="D299">
        <v>2039.414</v>
      </c>
      <c r="E299">
        <v>68.549372162633802</v>
      </c>
      <c r="F299">
        <v>16.438421831151</v>
      </c>
      <c r="G299">
        <v>0</v>
      </c>
      <c r="H299">
        <v>0</v>
      </c>
      <c r="I299" s="72">
        <f t="shared" si="7"/>
        <v>84.987793993784805</v>
      </c>
    </row>
    <row r="300" spans="1:9" x14ac:dyDescent="0.3">
      <c r="A300">
        <v>2039</v>
      </c>
      <c r="B300">
        <v>6</v>
      </c>
      <c r="C300">
        <v>30</v>
      </c>
      <c r="D300">
        <v>2039.4960000000001</v>
      </c>
      <c r="E300">
        <v>68.618026663852504</v>
      </c>
      <c r="F300">
        <v>16.5088472753337</v>
      </c>
      <c r="G300">
        <v>0</v>
      </c>
      <c r="H300">
        <v>0</v>
      </c>
      <c r="I300" s="106">
        <f t="shared" si="7"/>
        <v>85.126873939186197</v>
      </c>
    </row>
    <row r="301" spans="1:9" x14ac:dyDescent="0.3">
      <c r="A301">
        <v>2039</v>
      </c>
      <c r="B301">
        <v>7</v>
      </c>
      <c r="C301">
        <v>31</v>
      </c>
      <c r="D301">
        <v>2039.5809999999999</v>
      </c>
      <c r="E301">
        <v>68.688737883146302</v>
      </c>
      <c r="F301">
        <v>16.599247308597501</v>
      </c>
      <c r="G301">
        <v>0</v>
      </c>
      <c r="H301">
        <v>0</v>
      </c>
      <c r="I301" s="72">
        <f t="shared" si="7"/>
        <v>85.2879851917438</v>
      </c>
    </row>
    <row r="302" spans="1:9" x14ac:dyDescent="0.3">
      <c r="A302">
        <v>2039</v>
      </c>
      <c r="B302">
        <v>8</v>
      </c>
      <c r="C302">
        <v>31</v>
      </c>
      <c r="D302">
        <v>2039.6659999999999</v>
      </c>
      <c r="E302">
        <v>68.759214657173203</v>
      </c>
      <c r="F302">
        <v>16.7092299002875</v>
      </c>
      <c r="G302">
        <v>0</v>
      </c>
      <c r="H302">
        <v>0</v>
      </c>
      <c r="I302" s="72">
        <f t="shared" si="7"/>
        <v>85.4684445574607</v>
      </c>
    </row>
    <row r="303" spans="1:9" x14ac:dyDescent="0.3">
      <c r="A303">
        <v>2039</v>
      </c>
      <c r="B303">
        <v>9</v>
      </c>
      <c r="C303">
        <v>30</v>
      </c>
      <c r="D303">
        <v>2039.748</v>
      </c>
      <c r="E303">
        <v>68.827195823255295</v>
      </c>
      <c r="F303">
        <v>16.7835943426211</v>
      </c>
      <c r="G303">
        <v>0</v>
      </c>
      <c r="H303">
        <v>0</v>
      </c>
      <c r="I303" s="72">
        <f t="shared" si="7"/>
        <v>85.610790165876395</v>
      </c>
    </row>
    <row r="304" spans="1:9" x14ac:dyDescent="0.3">
      <c r="A304">
        <v>2039</v>
      </c>
      <c r="B304">
        <v>10</v>
      </c>
      <c r="C304">
        <v>31</v>
      </c>
      <c r="D304">
        <v>2039.8330000000001</v>
      </c>
      <c r="E304">
        <v>68.897214547348796</v>
      </c>
      <c r="F304">
        <v>16.769147773337199</v>
      </c>
      <c r="G304">
        <v>0</v>
      </c>
      <c r="H304">
        <v>0</v>
      </c>
      <c r="I304" s="72">
        <f t="shared" si="7"/>
        <v>85.666362320685991</v>
      </c>
    </row>
    <row r="305" spans="1:9" x14ac:dyDescent="0.3">
      <c r="A305">
        <v>2039</v>
      </c>
      <c r="B305">
        <v>11</v>
      </c>
      <c r="C305">
        <v>30</v>
      </c>
      <c r="D305">
        <v>2039.915</v>
      </c>
      <c r="E305">
        <v>68.964738719526395</v>
      </c>
      <c r="F305">
        <v>16.736740685750899</v>
      </c>
      <c r="G305">
        <v>0</v>
      </c>
      <c r="H305">
        <v>0</v>
      </c>
      <c r="I305" s="72">
        <f t="shared" si="7"/>
        <v>85.701479405277297</v>
      </c>
    </row>
    <row r="306" spans="1:9" x14ac:dyDescent="0.3">
      <c r="A306">
        <v>2039</v>
      </c>
      <c r="B306">
        <v>12</v>
      </c>
      <c r="C306">
        <v>31</v>
      </c>
      <c r="D306">
        <v>2040</v>
      </c>
      <c r="E306">
        <v>69.034286249899594</v>
      </c>
      <c r="F306">
        <v>16.698075790494599</v>
      </c>
      <c r="G306">
        <v>0</v>
      </c>
      <c r="H306">
        <v>0</v>
      </c>
      <c r="I306" s="72">
        <f t="shared" si="7"/>
        <v>85.732362040394193</v>
      </c>
    </row>
    <row r="307" spans="1:9" x14ac:dyDescent="0.3">
      <c r="A307">
        <v>2040</v>
      </c>
      <c r="B307">
        <v>1</v>
      </c>
      <c r="C307">
        <v>31</v>
      </c>
      <c r="D307">
        <v>2040.085</v>
      </c>
      <c r="E307">
        <v>69.103604877959398</v>
      </c>
      <c r="F307">
        <v>16.660831091995099</v>
      </c>
      <c r="G307">
        <v>0</v>
      </c>
      <c r="H307">
        <v>0</v>
      </c>
      <c r="I307" s="72">
        <f t="shared" si="7"/>
        <v>85.764435969954491</v>
      </c>
    </row>
    <row r="308" spans="1:9" x14ac:dyDescent="0.3">
      <c r="A308">
        <v>2040</v>
      </c>
      <c r="B308">
        <v>2</v>
      </c>
      <c r="C308">
        <v>29</v>
      </c>
      <c r="D308">
        <v>2040.164</v>
      </c>
      <c r="E308">
        <v>69.168245076380003</v>
      </c>
      <c r="F308">
        <v>16.631835373597699</v>
      </c>
      <c r="G308">
        <v>0</v>
      </c>
      <c r="H308">
        <v>0</v>
      </c>
      <c r="I308" s="72">
        <f t="shared" si="7"/>
        <v>85.800080449977699</v>
      </c>
    </row>
    <row r="309" spans="1:9" x14ac:dyDescent="0.3">
      <c r="A309">
        <v>2040</v>
      </c>
      <c r="B309">
        <v>3</v>
      </c>
      <c r="C309">
        <v>31</v>
      </c>
      <c r="D309">
        <v>2040.249</v>
      </c>
      <c r="E309">
        <v>69.2371237618962</v>
      </c>
      <c r="F309">
        <v>16.618174300425899</v>
      </c>
      <c r="G309">
        <v>0</v>
      </c>
      <c r="H309">
        <v>0</v>
      </c>
      <c r="I309" s="72">
        <f t="shared" si="7"/>
        <v>85.855298062322106</v>
      </c>
    </row>
    <row r="310" spans="1:9" x14ac:dyDescent="0.3">
      <c r="A310">
        <v>2040</v>
      </c>
      <c r="B310">
        <v>4</v>
      </c>
      <c r="C310">
        <v>30</v>
      </c>
      <c r="D310">
        <v>2040.3309999999999</v>
      </c>
      <c r="E310">
        <v>69.303565630073393</v>
      </c>
      <c r="F310">
        <v>16.623066027487098</v>
      </c>
      <c r="G310">
        <v>0</v>
      </c>
      <c r="H310">
        <v>0</v>
      </c>
      <c r="I310" s="72">
        <f t="shared" si="7"/>
        <v>85.926631657560492</v>
      </c>
    </row>
    <row r="311" spans="1:9" x14ac:dyDescent="0.3">
      <c r="I311" s="72">
        <f t="shared" si="7"/>
        <v>0</v>
      </c>
    </row>
  </sheetData>
  <pageMargins left="0.70866141732283472" right="0.70866141732283472" top="0.74803149606299213" bottom="0.74803149606299213" header="0.31496062992125984" footer="0.31496062992125984"/>
  <pageSetup paperSize="9" scale="87" fitToHeight="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8:R311"/>
  <sheetViews>
    <sheetView topLeftCell="A17" workbookViewId="0">
      <selection activeCell="A126" sqref="A126"/>
    </sheetView>
  </sheetViews>
  <sheetFormatPr defaultColWidth="9" defaultRowHeight="16.5" x14ac:dyDescent="0.3"/>
  <cols>
    <col min="1" max="1" width="73.28515625" bestFit="1" customWidth="1"/>
    <col min="2" max="2" width="6.85546875" bestFit="1" customWidth="1"/>
    <col min="3" max="3" width="4.28515625" bestFit="1" customWidth="1"/>
    <col min="4" max="4" width="9.140625"/>
    <col min="5" max="5" width="14.42578125" bestFit="1" customWidth="1"/>
    <col min="6" max="6" width="21.42578125" bestFit="1" customWidth="1"/>
    <col min="7" max="7" width="22.140625" bestFit="1" customWidth="1"/>
    <col min="8" max="8" width="22.5703125" bestFit="1" customWidth="1"/>
    <col min="9" max="9" width="19.28515625" style="11" bestFit="1" customWidth="1"/>
    <col min="10" max="10" width="9" style="11"/>
    <col min="11" max="11" width="5" style="2" bestFit="1" customWidth="1"/>
    <col min="12" max="12" width="6" style="2" bestFit="1" customWidth="1"/>
    <col min="13" max="13" width="11.85546875" style="2" bestFit="1" customWidth="1"/>
    <col min="14" max="14" width="6" style="2" bestFit="1" customWidth="1"/>
    <col min="15" max="15" width="13.28515625" style="2" bestFit="1" customWidth="1"/>
    <col min="16" max="16" width="15.28515625" style="2" bestFit="1" customWidth="1"/>
    <col min="17" max="17" width="19" style="2" bestFit="1" customWidth="1"/>
    <col min="18" max="18" width="19.5703125" style="2" bestFit="1" customWidth="1"/>
    <col min="19" max="16384" width="9" style="2"/>
  </cols>
  <sheetData>
    <row r="8" spans="1:9" x14ac:dyDescent="0.3">
      <c r="A8" t="s">
        <v>260</v>
      </c>
      <c r="B8" t="s">
        <v>261</v>
      </c>
      <c r="C8" t="s">
        <v>262</v>
      </c>
      <c r="D8" t="s">
        <v>263</v>
      </c>
      <c r="E8" t="s">
        <v>264</v>
      </c>
      <c r="F8" t="s">
        <v>265</v>
      </c>
      <c r="G8" t="s">
        <v>266</v>
      </c>
      <c r="H8" t="s">
        <v>267</v>
      </c>
      <c r="I8" s="72" t="s">
        <v>268</v>
      </c>
    </row>
    <row r="9" spans="1:9" x14ac:dyDescent="0.3">
      <c r="D9" t="s">
        <v>269</v>
      </c>
      <c r="E9" t="s">
        <v>269</v>
      </c>
      <c r="F9" t="s">
        <v>269</v>
      </c>
      <c r="G9" t="s">
        <v>270</v>
      </c>
      <c r="H9" t="s">
        <v>271</v>
      </c>
      <c r="I9" s="72" t="s">
        <v>269</v>
      </c>
    </row>
    <row r="10" spans="1:9" x14ac:dyDescent="0.3">
      <c r="A10">
        <v>2015</v>
      </c>
      <c r="B10">
        <v>4</v>
      </c>
      <c r="C10">
        <v>30</v>
      </c>
      <c r="D10">
        <v>2015.329</v>
      </c>
      <c r="E10">
        <v>0</v>
      </c>
      <c r="F10">
        <v>0</v>
      </c>
      <c r="I10" s="72">
        <f>E10+F10</f>
        <v>0</v>
      </c>
    </row>
    <row r="11" spans="1:9" x14ac:dyDescent="0.3">
      <c r="A11">
        <v>2015</v>
      </c>
      <c r="B11">
        <v>5</v>
      </c>
      <c r="C11">
        <v>31</v>
      </c>
      <c r="D11">
        <v>2015.414</v>
      </c>
      <c r="E11">
        <v>0.29370000000000002</v>
      </c>
      <c r="F11">
        <v>3.6864448682189998E-3</v>
      </c>
      <c r="G11">
        <v>0</v>
      </c>
      <c r="H11">
        <v>0</v>
      </c>
      <c r="I11" s="72">
        <f t="shared" ref="I11:I74" si="0">E11+F11</f>
        <v>0.29738644486821902</v>
      </c>
    </row>
    <row r="12" spans="1:9" x14ac:dyDescent="0.3">
      <c r="A12">
        <v>2015</v>
      </c>
      <c r="B12">
        <v>6</v>
      </c>
      <c r="C12">
        <v>30</v>
      </c>
      <c r="D12">
        <v>2015.4960000000001</v>
      </c>
      <c r="E12">
        <v>0.29370000000000002</v>
      </c>
      <c r="F12">
        <v>7.2950376546199996E-3</v>
      </c>
      <c r="G12">
        <v>0</v>
      </c>
      <c r="H12">
        <v>0</v>
      </c>
      <c r="I12" s="72">
        <f t="shared" si="0"/>
        <v>0.30099503765461999</v>
      </c>
    </row>
    <row r="13" spans="1:9" x14ac:dyDescent="0.3">
      <c r="A13">
        <v>2015</v>
      </c>
      <c r="B13">
        <v>7</v>
      </c>
      <c r="C13">
        <v>31</v>
      </c>
      <c r="D13">
        <v>2015.5809999999999</v>
      </c>
      <c r="E13">
        <v>0.29370386373102098</v>
      </c>
      <c r="F13">
        <v>1.092092122253E-2</v>
      </c>
      <c r="G13">
        <v>0</v>
      </c>
      <c r="H13">
        <v>0</v>
      </c>
      <c r="I13" s="72">
        <f t="shared" si="0"/>
        <v>0.304624784953551</v>
      </c>
    </row>
    <row r="14" spans="1:9" x14ac:dyDescent="0.3">
      <c r="A14">
        <v>2015</v>
      </c>
      <c r="B14">
        <v>8</v>
      </c>
      <c r="C14">
        <v>31</v>
      </c>
      <c r="D14">
        <v>2015.6659999999999</v>
      </c>
      <c r="E14">
        <v>0.29397233070307599</v>
      </c>
      <c r="F14">
        <v>1.4522987922451E-2</v>
      </c>
      <c r="G14">
        <v>0</v>
      </c>
      <c r="H14">
        <v>0</v>
      </c>
      <c r="I14" s="72">
        <f t="shared" si="0"/>
        <v>0.30849531862552698</v>
      </c>
    </row>
    <row r="15" spans="1:9" x14ac:dyDescent="0.3">
      <c r="A15">
        <v>2015</v>
      </c>
      <c r="B15">
        <v>9</v>
      </c>
      <c r="C15">
        <v>30</v>
      </c>
      <c r="D15">
        <v>2015.748</v>
      </c>
      <c r="E15">
        <v>0.29704589772166601</v>
      </c>
      <c r="F15">
        <v>1.7912029716778001E-2</v>
      </c>
      <c r="G15">
        <v>0</v>
      </c>
      <c r="H15">
        <v>0</v>
      </c>
      <c r="I15" s="72">
        <f t="shared" si="0"/>
        <v>0.31495792743844403</v>
      </c>
    </row>
    <row r="16" spans="1:9" x14ac:dyDescent="0.3">
      <c r="A16">
        <v>2015</v>
      </c>
      <c r="B16">
        <v>10</v>
      </c>
      <c r="C16">
        <v>31</v>
      </c>
      <c r="D16">
        <v>2015.8330000000001</v>
      </c>
      <c r="E16">
        <v>0.31213572208495799</v>
      </c>
      <c r="F16">
        <v>2.1266178940263999E-2</v>
      </c>
      <c r="G16">
        <v>0</v>
      </c>
      <c r="H16">
        <v>0</v>
      </c>
      <c r="I16" s="72">
        <f t="shared" si="0"/>
        <v>0.33340190102522199</v>
      </c>
    </row>
    <row r="17" spans="1:18" x14ac:dyDescent="0.3">
      <c r="A17">
        <v>2015</v>
      </c>
      <c r="B17">
        <v>11</v>
      </c>
      <c r="C17">
        <v>30</v>
      </c>
      <c r="D17">
        <v>2015.915</v>
      </c>
      <c r="E17">
        <v>0.36796979013176101</v>
      </c>
      <c r="F17">
        <v>2.4949936124424001E-2</v>
      </c>
      <c r="G17">
        <v>0</v>
      </c>
      <c r="H17">
        <v>0</v>
      </c>
      <c r="I17" s="72">
        <f t="shared" si="0"/>
        <v>0.39291972625618499</v>
      </c>
    </row>
    <row r="18" spans="1:18" x14ac:dyDescent="0.3">
      <c r="A18">
        <v>2015</v>
      </c>
      <c r="B18">
        <v>12</v>
      </c>
      <c r="C18">
        <v>31</v>
      </c>
      <c r="D18">
        <v>2016</v>
      </c>
      <c r="E18">
        <v>0.51214699543368503</v>
      </c>
      <c r="F18">
        <v>3.0109261174125001E-2</v>
      </c>
      <c r="G18">
        <v>0</v>
      </c>
      <c r="H18">
        <v>0</v>
      </c>
      <c r="I18" s="72">
        <f t="shared" si="0"/>
        <v>0.54225625660781007</v>
      </c>
    </row>
    <row r="19" spans="1:18" x14ac:dyDescent="0.3">
      <c r="A19">
        <v>2016</v>
      </c>
      <c r="B19">
        <v>1</v>
      </c>
      <c r="C19">
        <v>31</v>
      </c>
      <c r="D19">
        <v>2016.085</v>
      </c>
      <c r="E19">
        <v>0.76918020724272396</v>
      </c>
      <c r="F19">
        <v>3.8010505351586003E-2</v>
      </c>
      <c r="G19">
        <v>0</v>
      </c>
      <c r="H19">
        <v>0</v>
      </c>
      <c r="I19" s="72">
        <f t="shared" si="0"/>
        <v>0.80719071259430997</v>
      </c>
    </row>
    <row r="20" spans="1:18" x14ac:dyDescent="0.3">
      <c r="A20">
        <v>2016</v>
      </c>
      <c r="B20">
        <v>2</v>
      </c>
      <c r="C20">
        <v>29</v>
      </c>
      <c r="D20">
        <v>2016.164</v>
      </c>
      <c r="E20">
        <v>1.1404391988089599</v>
      </c>
      <c r="F20">
        <v>4.9165480257945003E-2</v>
      </c>
      <c r="G20">
        <v>0</v>
      </c>
      <c r="H20">
        <v>0</v>
      </c>
      <c r="I20" s="72">
        <f t="shared" si="0"/>
        <v>1.189604679066905</v>
      </c>
    </row>
    <row r="21" spans="1:18" x14ac:dyDescent="0.3">
      <c r="A21">
        <v>2016</v>
      </c>
      <c r="B21">
        <v>3</v>
      </c>
      <c r="C21">
        <v>31</v>
      </c>
      <c r="D21">
        <v>2016.249</v>
      </c>
      <c r="E21">
        <v>1.6834272671875801</v>
      </c>
      <c r="F21">
        <v>6.6943872638749999E-2</v>
      </c>
      <c r="G21">
        <v>0</v>
      </c>
      <c r="H21">
        <v>0</v>
      </c>
      <c r="I21" s="72">
        <f t="shared" si="0"/>
        <v>1.75037113982633</v>
      </c>
    </row>
    <row r="22" spans="1:18" x14ac:dyDescent="0.3">
      <c r="A22">
        <v>2016</v>
      </c>
      <c r="B22">
        <v>4</v>
      </c>
      <c r="C22">
        <v>30</v>
      </c>
      <c r="D22">
        <v>2016.3309999999999</v>
      </c>
      <c r="E22">
        <v>2.4903522398839102</v>
      </c>
      <c r="F22">
        <v>9.1753190136929993E-2</v>
      </c>
      <c r="G22">
        <v>0</v>
      </c>
      <c r="H22">
        <v>0</v>
      </c>
      <c r="I22" s="72">
        <f t="shared" si="0"/>
        <v>2.5821054300208401</v>
      </c>
    </row>
    <row r="23" spans="1:18" x14ac:dyDescent="0.3">
      <c r="A23">
        <v>2016</v>
      </c>
      <c r="B23">
        <v>5</v>
      </c>
      <c r="C23">
        <v>31</v>
      </c>
      <c r="D23">
        <v>2016.415</v>
      </c>
      <c r="E23">
        <v>3.3500670859502302</v>
      </c>
      <c r="F23">
        <v>0.12672162639303899</v>
      </c>
      <c r="G23">
        <v>0</v>
      </c>
      <c r="H23">
        <v>0</v>
      </c>
      <c r="I23" s="72">
        <f t="shared" si="0"/>
        <v>3.4767887123432692</v>
      </c>
    </row>
    <row r="24" spans="1:18" s="86" customFormat="1" x14ac:dyDescent="0.3">
      <c r="A24">
        <v>2016</v>
      </c>
      <c r="B24">
        <v>6</v>
      </c>
      <c r="C24">
        <v>30</v>
      </c>
      <c r="D24">
        <v>2016.4970000000001</v>
      </c>
      <c r="E24">
        <v>4.4685834724780698</v>
      </c>
      <c r="F24">
        <v>0.17127090309406701</v>
      </c>
      <c r="G24">
        <v>0</v>
      </c>
      <c r="H24">
        <v>0</v>
      </c>
      <c r="I24" s="106">
        <f t="shared" si="0"/>
        <v>4.6398543755721366</v>
      </c>
      <c r="K24" s="35"/>
    </row>
    <row r="25" spans="1:18" x14ac:dyDescent="0.3">
      <c r="A25">
        <v>2016</v>
      </c>
      <c r="B25">
        <v>7</v>
      </c>
      <c r="C25">
        <v>31</v>
      </c>
      <c r="D25">
        <v>2016.5820000000001</v>
      </c>
      <c r="E25">
        <v>5.5537112697225002</v>
      </c>
      <c r="F25">
        <v>0.228206730205751</v>
      </c>
      <c r="G25">
        <v>0</v>
      </c>
      <c r="H25">
        <v>0</v>
      </c>
      <c r="I25" s="72">
        <f t="shared" si="0"/>
        <v>5.7819179999282513</v>
      </c>
      <c r="K25" s="11" t="s">
        <v>260</v>
      </c>
      <c r="L25" s="11" t="s">
        <v>261</v>
      </c>
      <c r="M25" s="11" t="s">
        <v>272</v>
      </c>
      <c r="N25" s="2" t="s">
        <v>181</v>
      </c>
      <c r="O25" s="2" t="s">
        <v>273</v>
      </c>
      <c r="P25" s="2" t="s">
        <v>274</v>
      </c>
      <c r="Q25" s="2" t="s">
        <v>275</v>
      </c>
      <c r="R25" s="2" t="s">
        <v>276</v>
      </c>
    </row>
    <row r="26" spans="1:18" x14ac:dyDescent="0.3">
      <c r="A26">
        <v>2016</v>
      </c>
      <c r="B26">
        <v>8</v>
      </c>
      <c r="C26">
        <v>31</v>
      </c>
      <c r="D26">
        <v>2016.6669999999999</v>
      </c>
      <c r="E26">
        <v>6.4740211633239504</v>
      </c>
      <c r="F26">
        <v>0.294885864893003</v>
      </c>
      <c r="G26">
        <v>0</v>
      </c>
      <c r="H26">
        <v>0</v>
      </c>
      <c r="I26" s="72">
        <f t="shared" si="0"/>
        <v>6.7689070282169537</v>
      </c>
      <c r="K26" s="11">
        <v>2016</v>
      </c>
      <c r="L26" s="11">
        <v>6</v>
      </c>
      <c r="M26" s="97">
        <f>I24</f>
        <v>4.6398543755721366</v>
      </c>
      <c r="N26" s="2">
        <f>'Abatement - Report 3'!$C$10</f>
        <v>66.16</v>
      </c>
      <c r="O26" s="99">
        <f>M26*N26</f>
        <v>306.97276548785254</v>
      </c>
      <c r="P26" s="99">
        <f>O26*44/12</f>
        <v>1125.5668067887925</v>
      </c>
      <c r="Q26" s="96">
        <f>'Fuel Emissions'!$D$50</f>
        <v>2.8064181960754713</v>
      </c>
      <c r="R26" s="98">
        <f>P26-Q26</f>
        <v>1122.7603885927169</v>
      </c>
    </row>
    <row r="27" spans="1:18" x14ac:dyDescent="0.3">
      <c r="A27">
        <v>2016</v>
      </c>
      <c r="B27">
        <v>9</v>
      </c>
      <c r="C27">
        <v>30</v>
      </c>
      <c r="D27">
        <v>2016.749</v>
      </c>
      <c r="E27">
        <v>7.4111742950132298</v>
      </c>
      <c r="F27">
        <v>0.36591536475135999</v>
      </c>
      <c r="G27">
        <v>0</v>
      </c>
      <c r="H27">
        <v>0</v>
      </c>
      <c r="I27" s="72">
        <f t="shared" si="0"/>
        <v>7.7770896597645898</v>
      </c>
      <c r="K27" s="11">
        <v>2017</v>
      </c>
      <c r="L27" s="11">
        <v>6</v>
      </c>
      <c r="M27" s="97">
        <f>I36</f>
        <v>14.869748036092451</v>
      </c>
      <c r="N27" s="2">
        <f>'Abatement - Report 3'!$C$10</f>
        <v>66.16</v>
      </c>
      <c r="O27" s="99">
        <f t="shared" ref="O27:O35" si="1">M27*N27</f>
        <v>983.78253006787656</v>
      </c>
      <c r="P27" s="99">
        <f t="shared" ref="P27:P35" si="2">O27*44/12</f>
        <v>3607.2026102488803</v>
      </c>
      <c r="Q27" s="96">
        <f>'Fuel Emissions'!$D$50</f>
        <v>2.8064181960754713</v>
      </c>
      <c r="R27" s="96">
        <f t="shared" ref="R27:R35" si="3">P27-Q27</f>
        <v>3604.396192052805</v>
      </c>
    </row>
    <row r="28" spans="1:18" x14ac:dyDescent="0.3">
      <c r="A28">
        <v>2016</v>
      </c>
      <c r="B28">
        <v>10</v>
      </c>
      <c r="C28">
        <v>31</v>
      </c>
      <c r="D28">
        <v>2016.8330000000001</v>
      </c>
      <c r="E28">
        <v>8.4178999806425203</v>
      </c>
      <c r="F28">
        <v>0.44393724097924298</v>
      </c>
      <c r="G28">
        <v>0</v>
      </c>
      <c r="H28">
        <v>0</v>
      </c>
      <c r="I28" s="72">
        <f t="shared" si="0"/>
        <v>8.861837221621764</v>
      </c>
      <c r="K28" s="11">
        <v>2018</v>
      </c>
      <c r="L28" s="11">
        <v>6</v>
      </c>
      <c r="M28" s="97">
        <f>I48</f>
        <v>22.404193201731619</v>
      </c>
      <c r="N28" s="2">
        <f>'Abatement - Report 3'!$C$10</f>
        <v>66.16</v>
      </c>
      <c r="O28" s="99">
        <f t="shared" si="1"/>
        <v>1482.2614222265638</v>
      </c>
      <c r="P28" s="99">
        <f t="shared" si="2"/>
        <v>5434.958548164067</v>
      </c>
      <c r="Q28" s="96">
        <f>'Fuel Emissions'!$D$50</f>
        <v>2.8064181960754713</v>
      </c>
      <c r="R28" s="96">
        <f t="shared" si="3"/>
        <v>5432.1521299679916</v>
      </c>
    </row>
    <row r="29" spans="1:18" x14ac:dyDescent="0.3">
      <c r="A29">
        <v>2016</v>
      </c>
      <c r="B29">
        <v>11</v>
      </c>
      <c r="C29">
        <v>30</v>
      </c>
      <c r="D29">
        <v>2016.915</v>
      </c>
      <c r="E29">
        <v>9.1629458835488897</v>
      </c>
      <c r="F29">
        <v>0.52552780987676995</v>
      </c>
      <c r="G29">
        <v>0</v>
      </c>
      <c r="H29">
        <v>0</v>
      </c>
      <c r="I29" s="72">
        <f t="shared" si="0"/>
        <v>9.6884736934256601</v>
      </c>
      <c r="K29" s="11">
        <v>2019</v>
      </c>
      <c r="L29" s="11">
        <v>6</v>
      </c>
      <c r="M29" s="97">
        <f>I60</f>
        <v>30.295068273323707</v>
      </c>
      <c r="N29" s="2">
        <f>'Abatement - Report 3'!$C$10</f>
        <v>66.16</v>
      </c>
      <c r="O29" s="99">
        <f t="shared" si="1"/>
        <v>2004.3217169630964</v>
      </c>
      <c r="P29" s="99">
        <f t="shared" si="2"/>
        <v>7349.1796288646865</v>
      </c>
      <c r="Q29" s="96">
        <f>'Fuel Emissions'!$D$50</f>
        <v>2.8064181960754713</v>
      </c>
      <c r="R29" s="96">
        <f t="shared" si="3"/>
        <v>7346.3732106686111</v>
      </c>
    </row>
    <row r="30" spans="1:18" x14ac:dyDescent="0.3">
      <c r="A30">
        <v>2016</v>
      </c>
      <c r="B30">
        <v>12</v>
      </c>
      <c r="C30">
        <v>31</v>
      </c>
      <c r="D30">
        <v>2017</v>
      </c>
      <c r="E30">
        <v>9.9486212289659193</v>
      </c>
      <c r="F30">
        <v>0.61406098214056504</v>
      </c>
      <c r="G30">
        <v>0</v>
      </c>
      <c r="H30">
        <v>0</v>
      </c>
      <c r="I30" s="72">
        <f t="shared" si="0"/>
        <v>10.562682211106484</v>
      </c>
      <c r="K30" s="11">
        <v>2020</v>
      </c>
      <c r="L30" s="11">
        <v>6</v>
      </c>
      <c r="M30" s="97">
        <f>I72</f>
        <v>37.096084030077627</v>
      </c>
      <c r="N30" s="2">
        <f>'Abatement - Report 3'!$C$10</f>
        <v>66.16</v>
      </c>
      <c r="O30" s="99">
        <f t="shared" si="1"/>
        <v>2454.2769194299358</v>
      </c>
      <c r="P30" s="99">
        <f t="shared" si="2"/>
        <v>8999.0153712430983</v>
      </c>
      <c r="Q30" s="96">
        <f>'Fuel Emissions'!$D$50</f>
        <v>2.8064181960754713</v>
      </c>
      <c r="R30" s="96">
        <f t="shared" si="3"/>
        <v>8996.2089530470221</v>
      </c>
    </row>
    <row r="31" spans="1:18" x14ac:dyDescent="0.3">
      <c r="A31">
        <v>2017</v>
      </c>
      <c r="B31">
        <v>1</v>
      </c>
      <c r="C31">
        <v>31</v>
      </c>
      <c r="D31">
        <v>2017.085</v>
      </c>
      <c r="E31">
        <v>10.747764317808899</v>
      </c>
      <c r="F31">
        <v>0.70717580276537595</v>
      </c>
      <c r="G31">
        <v>0</v>
      </c>
      <c r="H31">
        <v>0</v>
      </c>
      <c r="I31" s="72">
        <f t="shared" si="0"/>
        <v>11.454940120574275</v>
      </c>
      <c r="K31" s="11">
        <v>2021</v>
      </c>
      <c r="L31" s="11">
        <v>6</v>
      </c>
      <c r="M31" s="97">
        <f>I84</f>
        <v>43.664233287403583</v>
      </c>
      <c r="N31" s="2">
        <f>'Abatement - Report 3'!$C$10</f>
        <v>66.16</v>
      </c>
      <c r="O31" s="99">
        <f t="shared" si="1"/>
        <v>2888.825674294621</v>
      </c>
      <c r="P31" s="99">
        <f t="shared" si="2"/>
        <v>10592.360805746945</v>
      </c>
      <c r="Q31" s="96">
        <f>'Fuel Emissions'!$D$50</f>
        <v>2.8064181960754713</v>
      </c>
      <c r="R31" s="96">
        <f t="shared" si="3"/>
        <v>10589.554387550868</v>
      </c>
    </row>
    <row r="32" spans="1:18" x14ac:dyDescent="0.3">
      <c r="A32">
        <v>2017</v>
      </c>
      <c r="B32">
        <v>2</v>
      </c>
      <c r="C32">
        <v>28</v>
      </c>
      <c r="D32">
        <v>2017.162</v>
      </c>
      <c r="E32">
        <v>11.479137556964499</v>
      </c>
      <c r="F32">
        <v>0.79526213760227604</v>
      </c>
      <c r="G32">
        <v>0</v>
      </c>
      <c r="H32">
        <v>0</v>
      </c>
      <c r="I32" s="72">
        <f t="shared" si="0"/>
        <v>12.274399694566775</v>
      </c>
      <c r="K32" s="11">
        <v>2022</v>
      </c>
      <c r="L32" s="11">
        <v>6</v>
      </c>
      <c r="M32" s="97">
        <f>I96</f>
        <v>49.002623463955572</v>
      </c>
      <c r="N32" s="2">
        <f>'Abatement - Report 3'!$C$10</f>
        <v>66.16</v>
      </c>
      <c r="O32" s="99">
        <f t="shared" si="1"/>
        <v>3242.0135683753006</v>
      </c>
      <c r="P32" s="99">
        <f t="shared" si="2"/>
        <v>11887.383084042769</v>
      </c>
      <c r="Q32" s="96">
        <f>'Fuel Emissions'!$D$50</f>
        <v>2.8064181960754713</v>
      </c>
      <c r="R32" s="96">
        <f t="shared" si="3"/>
        <v>11884.576665846693</v>
      </c>
    </row>
    <row r="33" spans="1:18" x14ac:dyDescent="0.3">
      <c r="A33">
        <v>2017</v>
      </c>
      <c r="B33">
        <v>3</v>
      </c>
      <c r="C33">
        <v>31</v>
      </c>
      <c r="D33">
        <v>2017.2470000000001</v>
      </c>
      <c r="E33">
        <v>12.290889652495601</v>
      </c>
      <c r="F33">
        <v>0.89773255117111606</v>
      </c>
      <c r="G33">
        <v>0</v>
      </c>
      <c r="H33">
        <v>0</v>
      </c>
      <c r="I33" s="72">
        <f t="shared" si="0"/>
        <v>13.188622203666716</v>
      </c>
      <c r="K33" s="11">
        <v>2023</v>
      </c>
      <c r="L33" s="11">
        <v>6</v>
      </c>
      <c r="M33" s="97">
        <f>I108</f>
        <v>54.3319900821324</v>
      </c>
      <c r="N33" s="2">
        <f>'Abatement - Report 3'!$C$10</f>
        <v>66.16</v>
      </c>
      <c r="O33" s="99">
        <f t="shared" si="1"/>
        <v>3594.6044638338794</v>
      </c>
      <c r="P33" s="99">
        <f t="shared" si="2"/>
        <v>13180.216367390893</v>
      </c>
      <c r="Q33" s="96">
        <f>'Fuel Emissions'!$D$50</f>
        <v>2.8064181960754713</v>
      </c>
      <c r="R33" s="96">
        <f t="shared" si="3"/>
        <v>13177.409949194816</v>
      </c>
    </row>
    <row r="34" spans="1:18" x14ac:dyDescent="0.3">
      <c r="A34">
        <v>2017</v>
      </c>
      <c r="B34">
        <v>4</v>
      </c>
      <c r="C34">
        <v>30</v>
      </c>
      <c r="D34">
        <v>2017.329</v>
      </c>
      <c r="E34">
        <v>12.8247280692134</v>
      </c>
      <c r="F34">
        <v>1.0012040392291399</v>
      </c>
      <c r="G34">
        <v>0</v>
      </c>
      <c r="H34">
        <v>0</v>
      </c>
      <c r="I34" s="72">
        <f t="shared" si="0"/>
        <v>13.82593210844254</v>
      </c>
      <c r="K34" s="11">
        <v>2024</v>
      </c>
      <c r="L34" s="11">
        <v>6</v>
      </c>
      <c r="M34" s="97">
        <f>I120</f>
        <v>58.970843308640703</v>
      </c>
      <c r="N34" s="2">
        <f>'Abatement - Report 3'!$C$10</f>
        <v>66.16</v>
      </c>
      <c r="O34" s="99">
        <f t="shared" si="1"/>
        <v>3901.5109932996688</v>
      </c>
      <c r="P34" s="99">
        <f t="shared" si="2"/>
        <v>14305.540308765454</v>
      </c>
      <c r="Q34" s="96">
        <f>'Fuel Emissions'!$D$50</f>
        <v>2.8064181960754713</v>
      </c>
      <c r="R34" s="96">
        <f t="shared" si="3"/>
        <v>14302.733890569378</v>
      </c>
    </row>
    <row r="35" spans="1:18" x14ac:dyDescent="0.3">
      <c r="A35">
        <v>2017</v>
      </c>
      <c r="B35">
        <v>5</v>
      </c>
      <c r="C35">
        <v>31</v>
      </c>
      <c r="D35">
        <v>2017.414</v>
      </c>
      <c r="E35">
        <v>13.3720663673021</v>
      </c>
      <c r="F35">
        <v>1.1094805952836599</v>
      </c>
      <c r="G35">
        <v>0</v>
      </c>
      <c r="H35">
        <v>0</v>
      </c>
      <c r="I35" s="72">
        <f t="shared" si="0"/>
        <v>14.48154696258576</v>
      </c>
      <c r="K35" s="11">
        <v>2025</v>
      </c>
      <c r="L35" s="11">
        <v>6</v>
      </c>
      <c r="M35" s="97">
        <f>I132</f>
        <v>63.127601762541104</v>
      </c>
      <c r="N35" s="2">
        <f>'Abatement - Report 3'!$C$10</f>
        <v>66.16</v>
      </c>
      <c r="O35" s="99">
        <f t="shared" si="1"/>
        <v>4176.5221326097189</v>
      </c>
      <c r="P35" s="99">
        <f t="shared" si="2"/>
        <v>15313.914486235635</v>
      </c>
      <c r="Q35" s="96">
        <f>'Fuel Emissions'!$D$50</f>
        <v>2.8064181960754713</v>
      </c>
      <c r="R35" s="96">
        <f t="shared" si="3"/>
        <v>15311.108068039559</v>
      </c>
    </row>
    <row r="36" spans="1:18" x14ac:dyDescent="0.3">
      <c r="A36">
        <v>2017</v>
      </c>
      <c r="B36">
        <v>6</v>
      </c>
      <c r="C36">
        <v>30</v>
      </c>
      <c r="D36">
        <v>2017.4960000000001</v>
      </c>
      <c r="E36">
        <v>13.6487415125455</v>
      </c>
      <c r="F36">
        <v>1.2210065235469501</v>
      </c>
      <c r="G36">
        <v>0</v>
      </c>
      <c r="H36">
        <v>0</v>
      </c>
      <c r="I36" s="106">
        <f t="shared" si="0"/>
        <v>14.869748036092451</v>
      </c>
      <c r="J36" s="11">
        <v>14.869748036092451</v>
      </c>
    </row>
    <row r="37" spans="1:18" x14ac:dyDescent="0.3">
      <c r="A37">
        <v>2017</v>
      </c>
      <c r="B37">
        <v>7</v>
      </c>
      <c r="C37">
        <v>31</v>
      </c>
      <c r="D37">
        <v>2017.5809999999999</v>
      </c>
      <c r="E37">
        <v>13.923648822183701</v>
      </c>
      <c r="F37">
        <v>1.33674942238506</v>
      </c>
      <c r="G37">
        <v>0</v>
      </c>
      <c r="H37">
        <v>0</v>
      </c>
      <c r="I37" s="72">
        <f t="shared" si="0"/>
        <v>15.26039824456876</v>
      </c>
    </row>
    <row r="38" spans="1:18" x14ac:dyDescent="0.3">
      <c r="A38">
        <v>2017</v>
      </c>
      <c r="B38">
        <v>8</v>
      </c>
      <c r="C38">
        <v>31</v>
      </c>
      <c r="D38">
        <v>2017.6659999999999</v>
      </c>
      <c r="E38">
        <v>14.4701096258802</v>
      </c>
      <c r="F38">
        <v>1.4566696012268501</v>
      </c>
      <c r="G38">
        <v>0</v>
      </c>
      <c r="H38">
        <v>0</v>
      </c>
      <c r="I38" s="72">
        <f t="shared" si="0"/>
        <v>15.926779227107049</v>
      </c>
    </row>
    <row r="39" spans="1:18" x14ac:dyDescent="0.3">
      <c r="A39">
        <v>2017</v>
      </c>
      <c r="B39">
        <v>9</v>
      </c>
      <c r="C39">
        <v>30</v>
      </c>
      <c r="D39">
        <v>2017.748</v>
      </c>
      <c r="E39">
        <v>15.0026429260956</v>
      </c>
      <c r="F39">
        <v>1.5723199729709401</v>
      </c>
      <c r="G39">
        <v>0</v>
      </c>
      <c r="H39">
        <v>0</v>
      </c>
      <c r="I39" s="72">
        <f t="shared" si="0"/>
        <v>16.574962899066541</v>
      </c>
    </row>
    <row r="40" spans="1:18" x14ac:dyDescent="0.3">
      <c r="A40">
        <v>2017</v>
      </c>
      <c r="B40">
        <v>10</v>
      </c>
      <c r="C40">
        <v>31</v>
      </c>
      <c r="D40">
        <v>2017.8330000000001</v>
      </c>
      <c r="E40">
        <v>15.551656383081699</v>
      </c>
      <c r="F40">
        <v>1.68144121627923</v>
      </c>
      <c r="G40">
        <v>0</v>
      </c>
      <c r="H40">
        <v>0</v>
      </c>
      <c r="I40" s="72">
        <f t="shared" si="0"/>
        <v>17.233097599360928</v>
      </c>
    </row>
    <row r="41" spans="1:18" x14ac:dyDescent="0.3">
      <c r="A41">
        <v>2017</v>
      </c>
      <c r="B41">
        <v>11</v>
      </c>
      <c r="C41">
        <v>30</v>
      </c>
      <c r="D41">
        <v>2017.915</v>
      </c>
      <c r="E41">
        <v>16.083227617311099</v>
      </c>
      <c r="F41">
        <v>1.7874009027722599</v>
      </c>
      <c r="G41">
        <v>0</v>
      </c>
      <c r="H41">
        <v>0</v>
      </c>
      <c r="I41" s="72">
        <f t="shared" si="0"/>
        <v>17.870628520083358</v>
      </c>
    </row>
    <row r="42" spans="1:18" x14ac:dyDescent="0.3">
      <c r="A42">
        <v>2017</v>
      </c>
      <c r="B42">
        <v>12</v>
      </c>
      <c r="C42">
        <v>31</v>
      </c>
      <c r="D42">
        <v>2018</v>
      </c>
      <c r="E42">
        <v>16.632437350064301</v>
      </c>
      <c r="F42">
        <v>1.89722151858899</v>
      </c>
      <c r="G42">
        <v>0</v>
      </c>
      <c r="H42">
        <v>0</v>
      </c>
      <c r="I42" s="72">
        <f t="shared" si="0"/>
        <v>18.529658868653289</v>
      </c>
    </row>
    <row r="43" spans="1:18" x14ac:dyDescent="0.3">
      <c r="A43">
        <v>2018</v>
      </c>
      <c r="B43">
        <v>1</v>
      </c>
      <c r="C43">
        <v>31</v>
      </c>
      <c r="D43">
        <v>2018.085</v>
      </c>
      <c r="E43">
        <v>17.181227274516498</v>
      </c>
      <c r="F43">
        <v>2.00826144536255</v>
      </c>
      <c r="G43">
        <v>0</v>
      </c>
      <c r="H43">
        <v>0</v>
      </c>
      <c r="I43" s="72">
        <f t="shared" si="0"/>
        <v>19.189488719879048</v>
      </c>
    </row>
    <row r="44" spans="1:18" x14ac:dyDescent="0.3">
      <c r="A44">
        <v>2018</v>
      </c>
      <c r="B44">
        <v>2</v>
      </c>
      <c r="C44">
        <v>28</v>
      </c>
      <c r="D44">
        <v>2018.162</v>
      </c>
      <c r="E44">
        <v>17.676283149404799</v>
      </c>
      <c r="F44">
        <v>2.1098448444176698</v>
      </c>
      <c r="G44">
        <v>0</v>
      </c>
      <c r="H44">
        <v>0</v>
      </c>
      <c r="I44" s="72">
        <f t="shared" si="0"/>
        <v>19.786127993822468</v>
      </c>
    </row>
    <row r="45" spans="1:18" x14ac:dyDescent="0.3">
      <c r="A45">
        <v>2018</v>
      </c>
      <c r="B45">
        <v>3</v>
      </c>
      <c r="C45">
        <v>31</v>
      </c>
      <c r="D45">
        <v>2018.2470000000001</v>
      </c>
      <c r="E45">
        <v>18.222137433728498</v>
      </c>
      <c r="F45">
        <v>2.2255747787657598</v>
      </c>
      <c r="G45">
        <v>0</v>
      </c>
      <c r="H45">
        <v>0</v>
      </c>
      <c r="I45" s="72">
        <f t="shared" si="0"/>
        <v>20.44771221249426</v>
      </c>
    </row>
    <row r="46" spans="1:18" x14ac:dyDescent="0.3">
      <c r="A46">
        <v>2018</v>
      </c>
      <c r="B46">
        <v>4</v>
      </c>
      <c r="C46">
        <v>30</v>
      </c>
      <c r="D46">
        <v>2018.329</v>
      </c>
      <c r="E46">
        <v>18.747670476237101</v>
      </c>
      <c r="F46">
        <v>2.3420918964384101</v>
      </c>
      <c r="G46">
        <v>0</v>
      </c>
      <c r="H46">
        <v>0</v>
      </c>
      <c r="I46" s="72">
        <f t="shared" si="0"/>
        <v>21.089762372675512</v>
      </c>
    </row>
    <row r="47" spans="1:18" x14ac:dyDescent="0.3">
      <c r="A47">
        <v>2018</v>
      </c>
      <c r="B47">
        <v>5</v>
      </c>
      <c r="C47">
        <v>31</v>
      </c>
      <c r="D47">
        <v>2018.414</v>
      </c>
      <c r="E47">
        <v>19.289225975007</v>
      </c>
      <c r="F47">
        <v>2.4627876677275702</v>
      </c>
      <c r="G47">
        <v>0</v>
      </c>
      <c r="H47">
        <v>0</v>
      </c>
      <c r="I47" s="72">
        <f t="shared" si="0"/>
        <v>21.752013642734571</v>
      </c>
    </row>
    <row r="48" spans="1:18" x14ac:dyDescent="0.3">
      <c r="A48">
        <v>2018</v>
      </c>
      <c r="B48">
        <v>6</v>
      </c>
      <c r="C48">
        <v>30</v>
      </c>
      <c r="D48">
        <v>2018.4960000000001</v>
      </c>
      <c r="E48">
        <v>19.8116467769552</v>
      </c>
      <c r="F48">
        <v>2.5925464247764198</v>
      </c>
      <c r="G48">
        <v>0</v>
      </c>
      <c r="H48">
        <v>0</v>
      </c>
      <c r="I48" s="106">
        <f t="shared" si="0"/>
        <v>22.404193201731619</v>
      </c>
      <c r="J48" s="11">
        <v>19.366980435448991</v>
      </c>
    </row>
    <row r="49" spans="1:10" x14ac:dyDescent="0.3">
      <c r="A49">
        <v>2018</v>
      </c>
      <c r="B49">
        <v>7</v>
      </c>
      <c r="C49">
        <v>31</v>
      </c>
      <c r="D49">
        <v>2018.5809999999999</v>
      </c>
      <c r="E49">
        <v>20.613383646641498</v>
      </c>
      <c r="F49">
        <v>2.73058506027576</v>
      </c>
      <c r="G49">
        <v>0</v>
      </c>
      <c r="H49">
        <v>0</v>
      </c>
      <c r="I49" s="72">
        <f t="shared" si="0"/>
        <v>23.343968706917259</v>
      </c>
    </row>
    <row r="50" spans="1:10" x14ac:dyDescent="0.3">
      <c r="A50">
        <v>2018</v>
      </c>
      <c r="B50">
        <v>8</v>
      </c>
      <c r="C50">
        <v>31</v>
      </c>
      <c r="D50">
        <v>2018.6659999999999</v>
      </c>
      <c r="E50">
        <v>21.1544494865859</v>
      </c>
      <c r="F50">
        <v>2.8766311280188201</v>
      </c>
      <c r="G50">
        <v>0</v>
      </c>
      <c r="H50">
        <v>0</v>
      </c>
      <c r="I50" s="72">
        <f t="shared" si="0"/>
        <v>24.031080614604718</v>
      </c>
    </row>
    <row r="51" spans="1:10" x14ac:dyDescent="0.3">
      <c r="A51">
        <v>2018</v>
      </c>
      <c r="B51">
        <v>9</v>
      </c>
      <c r="C51">
        <v>30</v>
      </c>
      <c r="D51">
        <v>2018.748</v>
      </c>
      <c r="E51">
        <v>21.667318271908201</v>
      </c>
      <c r="F51">
        <v>3.0148843904165701</v>
      </c>
      <c r="G51">
        <v>0</v>
      </c>
      <c r="H51">
        <v>0</v>
      </c>
      <c r="I51" s="72">
        <f t="shared" si="0"/>
        <v>24.682202662324769</v>
      </c>
    </row>
    <row r="52" spans="1:10" x14ac:dyDescent="0.3">
      <c r="A52">
        <v>2018</v>
      </c>
      <c r="B52">
        <v>10</v>
      </c>
      <c r="C52">
        <v>31</v>
      </c>
      <c r="D52">
        <v>2018.8330000000001</v>
      </c>
      <c r="E52">
        <v>22.1947478322016</v>
      </c>
      <c r="F52">
        <v>3.1359180895534</v>
      </c>
      <c r="G52">
        <v>0</v>
      </c>
      <c r="H52">
        <v>0</v>
      </c>
      <c r="I52" s="72">
        <f t="shared" si="0"/>
        <v>25.330665921754999</v>
      </c>
    </row>
    <row r="53" spans="1:10" x14ac:dyDescent="0.3">
      <c r="A53">
        <v>2018</v>
      </c>
      <c r="B53">
        <v>11</v>
      </c>
      <c r="C53">
        <v>30</v>
      </c>
      <c r="D53">
        <v>2018.915</v>
      </c>
      <c r="E53">
        <v>22.702573495149199</v>
      </c>
      <c r="F53">
        <v>3.2509142371445399</v>
      </c>
      <c r="G53">
        <v>0</v>
      </c>
      <c r="H53">
        <v>0</v>
      </c>
      <c r="I53" s="72">
        <f t="shared" si="0"/>
        <v>25.953487732293738</v>
      </c>
    </row>
    <row r="54" spans="1:10" x14ac:dyDescent="0.3">
      <c r="A54">
        <v>2018</v>
      </c>
      <c r="B54">
        <v>12</v>
      </c>
      <c r="C54">
        <v>31</v>
      </c>
      <c r="D54">
        <v>2019</v>
      </c>
      <c r="E54">
        <v>23.224519498307099</v>
      </c>
      <c r="F54">
        <v>3.3684945335243501</v>
      </c>
      <c r="G54">
        <v>0</v>
      </c>
      <c r="H54">
        <v>0</v>
      </c>
      <c r="I54" s="72">
        <f t="shared" si="0"/>
        <v>26.593014031831451</v>
      </c>
    </row>
    <row r="55" spans="1:10" x14ac:dyDescent="0.3">
      <c r="A55">
        <v>2019</v>
      </c>
      <c r="B55">
        <v>1</v>
      </c>
      <c r="C55">
        <v>31</v>
      </c>
      <c r="D55">
        <v>2019.085</v>
      </c>
      <c r="E55">
        <v>23.743491134600202</v>
      </c>
      <c r="F55">
        <v>3.4864263425003599</v>
      </c>
      <c r="G55">
        <v>0</v>
      </c>
      <c r="H55">
        <v>0</v>
      </c>
      <c r="I55" s="72">
        <f t="shared" si="0"/>
        <v>27.22991747710056</v>
      </c>
    </row>
    <row r="56" spans="1:10" x14ac:dyDescent="0.3">
      <c r="A56">
        <v>2019</v>
      </c>
      <c r="B56">
        <v>2</v>
      </c>
      <c r="C56">
        <v>28</v>
      </c>
      <c r="D56">
        <v>2019.162</v>
      </c>
      <c r="E56">
        <v>24.209590359799201</v>
      </c>
      <c r="F56">
        <v>3.5937442543582798</v>
      </c>
      <c r="G56">
        <v>0</v>
      </c>
      <c r="H56">
        <v>0</v>
      </c>
      <c r="I56" s="72">
        <f t="shared" si="0"/>
        <v>27.803334614157482</v>
      </c>
    </row>
    <row r="57" spans="1:10" x14ac:dyDescent="0.3">
      <c r="A57">
        <v>2019</v>
      </c>
      <c r="B57">
        <v>3</v>
      </c>
      <c r="C57">
        <v>31</v>
      </c>
      <c r="D57">
        <v>2019.2470000000001</v>
      </c>
      <c r="E57">
        <v>24.718282190336499</v>
      </c>
      <c r="F57">
        <v>3.7158348405254298</v>
      </c>
      <c r="G57">
        <v>0</v>
      </c>
      <c r="H57">
        <v>0</v>
      </c>
      <c r="I57" s="72">
        <f t="shared" si="0"/>
        <v>28.434117030861927</v>
      </c>
    </row>
    <row r="58" spans="1:10" x14ac:dyDescent="0.3">
      <c r="A58">
        <v>2019</v>
      </c>
      <c r="B58">
        <v>4</v>
      </c>
      <c r="C58">
        <v>30</v>
      </c>
      <c r="D58">
        <v>2019.329</v>
      </c>
      <c r="E58">
        <v>25.207191660724099</v>
      </c>
      <c r="F58">
        <v>3.8389390871323901</v>
      </c>
      <c r="G58">
        <v>0</v>
      </c>
      <c r="H58">
        <v>0</v>
      </c>
      <c r="I58" s="72">
        <f t="shared" si="0"/>
        <v>29.046130747856488</v>
      </c>
    </row>
    <row r="59" spans="1:10" x14ac:dyDescent="0.3">
      <c r="A59">
        <v>2019</v>
      </c>
      <c r="B59">
        <v>5</v>
      </c>
      <c r="C59">
        <v>31</v>
      </c>
      <c r="D59">
        <v>2019.414</v>
      </c>
      <c r="E59">
        <v>25.7091317568992</v>
      </c>
      <c r="F59">
        <v>3.9643608477100698</v>
      </c>
      <c r="G59">
        <v>0</v>
      </c>
      <c r="H59">
        <v>0</v>
      </c>
      <c r="I59" s="72">
        <f t="shared" si="0"/>
        <v>29.673492604609269</v>
      </c>
    </row>
    <row r="60" spans="1:10" x14ac:dyDescent="0.3">
      <c r="A60">
        <v>2019</v>
      </c>
      <c r="B60">
        <v>6</v>
      </c>
      <c r="C60">
        <v>30</v>
      </c>
      <c r="D60">
        <v>2019.4960000000001</v>
      </c>
      <c r="E60">
        <v>26.191650674550299</v>
      </c>
      <c r="F60">
        <v>4.1034175987734098</v>
      </c>
      <c r="G60">
        <v>0</v>
      </c>
      <c r="H60">
        <v>0</v>
      </c>
      <c r="I60" s="106">
        <f t="shared" si="0"/>
        <v>30.295068273323707</v>
      </c>
      <c r="J60" s="11">
        <v>23.777799479873291</v>
      </c>
    </row>
    <row r="61" spans="1:10" x14ac:dyDescent="0.3">
      <c r="A61">
        <v>2019</v>
      </c>
      <c r="B61">
        <v>7</v>
      </c>
      <c r="C61">
        <v>31</v>
      </c>
      <c r="D61">
        <v>2019.5809999999999</v>
      </c>
      <c r="E61">
        <v>26.445677491630001</v>
      </c>
      <c r="F61">
        <v>4.2490685264987196</v>
      </c>
      <c r="G61">
        <v>0</v>
      </c>
      <c r="H61">
        <v>0</v>
      </c>
      <c r="I61" s="72">
        <f t="shared" si="0"/>
        <v>30.694746018128718</v>
      </c>
    </row>
    <row r="62" spans="1:10" x14ac:dyDescent="0.3">
      <c r="A62">
        <v>2019</v>
      </c>
      <c r="B62">
        <v>8</v>
      </c>
      <c r="C62">
        <v>31</v>
      </c>
      <c r="D62">
        <v>2019.6659999999999</v>
      </c>
      <c r="E62">
        <v>26.9351212121068</v>
      </c>
      <c r="F62">
        <v>4.4023303242145104</v>
      </c>
      <c r="G62">
        <v>0</v>
      </c>
      <c r="H62">
        <v>0</v>
      </c>
      <c r="I62" s="72">
        <f t="shared" si="0"/>
        <v>31.337451536321311</v>
      </c>
    </row>
    <row r="63" spans="1:10" x14ac:dyDescent="0.3">
      <c r="A63">
        <v>2019</v>
      </c>
      <c r="B63">
        <v>9</v>
      </c>
      <c r="C63">
        <v>30</v>
      </c>
      <c r="D63">
        <v>2019.748</v>
      </c>
      <c r="E63">
        <v>27.408705044615498</v>
      </c>
      <c r="F63">
        <v>4.5445616879998898</v>
      </c>
      <c r="G63">
        <v>0</v>
      </c>
      <c r="H63">
        <v>0</v>
      </c>
      <c r="I63" s="72">
        <f t="shared" si="0"/>
        <v>31.95326673261539</v>
      </c>
    </row>
    <row r="64" spans="1:10" x14ac:dyDescent="0.3">
      <c r="A64">
        <v>2019</v>
      </c>
      <c r="B64">
        <v>10</v>
      </c>
      <c r="C64">
        <v>31</v>
      </c>
      <c r="D64">
        <v>2019.8330000000001</v>
      </c>
      <c r="E64">
        <v>27.893884369077401</v>
      </c>
      <c r="F64">
        <v>4.6573513817043199</v>
      </c>
      <c r="G64">
        <v>0</v>
      </c>
      <c r="H64">
        <v>0</v>
      </c>
      <c r="I64" s="72">
        <f t="shared" si="0"/>
        <v>32.551235750781721</v>
      </c>
    </row>
    <row r="65" spans="1:9" x14ac:dyDescent="0.3">
      <c r="A65">
        <v>2019</v>
      </c>
      <c r="B65">
        <v>11</v>
      </c>
      <c r="C65">
        <v>30</v>
      </c>
      <c r="D65">
        <v>2019.915</v>
      </c>
      <c r="E65">
        <v>28.359965856681502</v>
      </c>
      <c r="F65">
        <v>4.7611162086887697</v>
      </c>
      <c r="G65">
        <v>0</v>
      </c>
      <c r="H65">
        <v>0</v>
      </c>
      <c r="I65" s="72">
        <f t="shared" si="0"/>
        <v>33.121082065370274</v>
      </c>
    </row>
    <row r="66" spans="1:9" x14ac:dyDescent="0.3">
      <c r="A66">
        <v>2019</v>
      </c>
      <c r="B66">
        <v>12</v>
      </c>
      <c r="C66">
        <v>31</v>
      </c>
      <c r="D66">
        <v>2020</v>
      </c>
      <c r="E66">
        <v>28.837986497079999</v>
      </c>
      <c r="F66">
        <v>4.8651080647939704</v>
      </c>
      <c r="G66">
        <v>0</v>
      </c>
      <c r="H66">
        <v>0</v>
      </c>
      <c r="I66" s="72">
        <f t="shared" si="0"/>
        <v>33.703094561873968</v>
      </c>
    </row>
    <row r="67" spans="1:9" x14ac:dyDescent="0.3">
      <c r="A67">
        <v>2020</v>
      </c>
      <c r="B67">
        <v>1</v>
      </c>
      <c r="C67">
        <v>31</v>
      </c>
      <c r="D67">
        <v>2020.085</v>
      </c>
      <c r="E67">
        <v>29.312320942595999</v>
      </c>
      <c r="F67">
        <v>4.9682146081219702</v>
      </c>
      <c r="G67">
        <v>0</v>
      </c>
      <c r="H67">
        <v>0</v>
      </c>
      <c r="I67" s="72">
        <f t="shared" si="0"/>
        <v>34.280535550717971</v>
      </c>
    </row>
    <row r="68" spans="1:9" x14ac:dyDescent="0.3">
      <c r="A68">
        <v>2020</v>
      </c>
      <c r="B68">
        <v>2</v>
      </c>
      <c r="C68">
        <v>29</v>
      </c>
      <c r="D68">
        <v>2020.164</v>
      </c>
      <c r="E68">
        <v>29.752693259316999</v>
      </c>
      <c r="F68">
        <v>5.0647381119411703</v>
      </c>
      <c r="G68">
        <v>0</v>
      </c>
      <c r="H68">
        <v>0</v>
      </c>
      <c r="I68" s="72">
        <f t="shared" si="0"/>
        <v>34.817431371258166</v>
      </c>
    </row>
    <row r="69" spans="1:9" x14ac:dyDescent="0.3">
      <c r="A69">
        <v>2020</v>
      </c>
      <c r="B69">
        <v>3</v>
      </c>
      <c r="C69">
        <v>31</v>
      </c>
      <c r="D69">
        <v>2020.249</v>
      </c>
      <c r="E69">
        <v>30.219334203995899</v>
      </c>
      <c r="F69">
        <v>5.1726031667244001</v>
      </c>
      <c r="G69">
        <v>0</v>
      </c>
      <c r="H69">
        <v>0</v>
      </c>
      <c r="I69" s="72">
        <f t="shared" si="0"/>
        <v>35.391937370720299</v>
      </c>
    </row>
    <row r="70" spans="1:9" x14ac:dyDescent="0.3">
      <c r="A70">
        <v>2020</v>
      </c>
      <c r="B70">
        <v>4</v>
      </c>
      <c r="C70">
        <v>30</v>
      </c>
      <c r="D70">
        <v>2020.3309999999999</v>
      </c>
      <c r="E70">
        <v>30.666853067356801</v>
      </c>
      <c r="F70">
        <v>5.2834253873641099</v>
      </c>
      <c r="G70">
        <v>0</v>
      </c>
      <c r="H70">
        <v>0</v>
      </c>
      <c r="I70" s="72">
        <f t="shared" si="0"/>
        <v>35.950278454720909</v>
      </c>
    </row>
    <row r="71" spans="1:9" x14ac:dyDescent="0.3">
      <c r="A71">
        <v>2020</v>
      </c>
      <c r="B71">
        <v>5</v>
      </c>
      <c r="C71">
        <v>31</v>
      </c>
      <c r="D71">
        <v>2020.415</v>
      </c>
      <c r="E71">
        <v>31.1255971680215</v>
      </c>
      <c r="F71">
        <v>5.3980519002168696</v>
      </c>
      <c r="G71">
        <v>0</v>
      </c>
      <c r="H71">
        <v>0</v>
      </c>
      <c r="I71" s="72">
        <f t="shared" si="0"/>
        <v>36.52364906823837</v>
      </c>
    </row>
    <row r="72" spans="1:9" x14ac:dyDescent="0.3">
      <c r="A72">
        <v>2020</v>
      </c>
      <c r="B72">
        <v>6</v>
      </c>
      <c r="C72">
        <v>30</v>
      </c>
      <c r="D72">
        <v>2020.4970000000001</v>
      </c>
      <c r="E72">
        <v>31.5659617454365</v>
      </c>
      <c r="F72">
        <v>5.5301222846411298</v>
      </c>
      <c r="G72">
        <v>0</v>
      </c>
      <c r="H72">
        <v>0</v>
      </c>
      <c r="I72" s="106">
        <f t="shared" si="0"/>
        <v>37.096084030077627</v>
      </c>
    </row>
    <row r="73" spans="1:9" x14ac:dyDescent="0.3">
      <c r="A73">
        <v>2020</v>
      </c>
      <c r="B73">
        <v>7</v>
      </c>
      <c r="C73">
        <v>31</v>
      </c>
      <c r="D73">
        <v>2020.5820000000001</v>
      </c>
      <c r="E73">
        <v>32.232530051656198</v>
      </c>
      <c r="F73">
        <v>5.6725058625494098</v>
      </c>
      <c r="G73">
        <v>0</v>
      </c>
      <c r="H73">
        <v>0</v>
      </c>
      <c r="I73" s="72">
        <f t="shared" si="0"/>
        <v>37.905035914205605</v>
      </c>
    </row>
    <row r="74" spans="1:9" x14ac:dyDescent="0.3">
      <c r="A74">
        <v>2020</v>
      </c>
      <c r="B74">
        <v>8</v>
      </c>
      <c r="C74">
        <v>31</v>
      </c>
      <c r="D74">
        <v>2020.6669999999999</v>
      </c>
      <c r="E74">
        <v>32.678289883892297</v>
      </c>
      <c r="F74">
        <v>5.8240227054392202</v>
      </c>
      <c r="G74">
        <v>0</v>
      </c>
      <c r="H74">
        <v>0</v>
      </c>
      <c r="I74" s="72">
        <f t="shared" si="0"/>
        <v>38.502312589331517</v>
      </c>
    </row>
    <row r="75" spans="1:9" x14ac:dyDescent="0.3">
      <c r="A75">
        <v>2020</v>
      </c>
      <c r="B75">
        <v>9</v>
      </c>
      <c r="C75">
        <v>30</v>
      </c>
      <c r="D75">
        <v>2020.749</v>
      </c>
      <c r="E75">
        <v>33.105283224762097</v>
      </c>
      <c r="F75">
        <v>5.9610417160882596</v>
      </c>
      <c r="G75">
        <v>0</v>
      </c>
      <c r="H75">
        <v>0</v>
      </c>
      <c r="I75" s="72">
        <f t="shared" ref="I75:I138" si="4">E75+F75</f>
        <v>39.066324940850357</v>
      </c>
    </row>
    <row r="76" spans="1:9" x14ac:dyDescent="0.3">
      <c r="A76">
        <v>2020</v>
      </c>
      <c r="B76">
        <v>10</v>
      </c>
      <c r="C76">
        <v>31</v>
      </c>
      <c r="D76">
        <v>2020.8330000000001</v>
      </c>
      <c r="E76">
        <v>33.542815057245498</v>
      </c>
      <c r="F76">
        <v>6.06303078907691</v>
      </c>
      <c r="G76">
        <v>0</v>
      </c>
      <c r="H76">
        <v>0</v>
      </c>
      <c r="I76" s="72">
        <f t="shared" si="4"/>
        <v>39.60584584632241</v>
      </c>
    </row>
    <row r="77" spans="1:9" x14ac:dyDescent="0.3">
      <c r="A77">
        <v>2020</v>
      </c>
      <c r="B77">
        <v>11</v>
      </c>
      <c r="C77">
        <v>30</v>
      </c>
      <c r="D77">
        <v>2020.915</v>
      </c>
      <c r="E77">
        <v>33.9626642741732</v>
      </c>
      <c r="F77">
        <v>6.1528876419272098</v>
      </c>
      <c r="G77">
        <v>0</v>
      </c>
      <c r="H77">
        <v>0</v>
      </c>
      <c r="I77" s="72">
        <f t="shared" si="4"/>
        <v>40.115551916100408</v>
      </c>
    </row>
    <row r="78" spans="1:9" x14ac:dyDescent="0.3">
      <c r="A78">
        <v>2020</v>
      </c>
      <c r="B78">
        <v>12</v>
      </c>
      <c r="C78">
        <v>31</v>
      </c>
      <c r="D78">
        <v>2021</v>
      </c>
      <c r="E78">
        <v>34.392830092644097</v>
      </c>
      <c r="F78">
        <v>6.2420985183068796</v>
      </c>
      <c r="G78">
        <v>0</v>
      </c>
      <c r="H78">
        <v>0</v>
      </c>
      <c r="I78" s="72">
        <f t="shared" si="4"/>
        <v>40.634928610950979</v>
      </c>
    </row>
    <row r="79" spans="1:9" x14ac:dyDescent="0.3">
      <c r="A79">
        <v>2021</v>
      </c>
      <c r="B79">
        <v>1</v>
      </c>
      <c r="C79">
        <v>31</v>
      </c>
      <c r="D79">
        <v>2021.085</v>
      </c>
      <c r="E79">
        <v>34.819268753876798</v>
      </c>
      <c r="F79">
        <v>6.3304786417854499</v>
      </c>
      <c r="G79">
        <v>0</v>
      </c>
      <c r="H79">
        <v>0</v>
      </c>
      <c r="I79" s="72">
        <f t="shared" si="4"/>
        <v>41.149747395662246</v>
      </c>
    </row>
    <row r="80" spans="1:9" x14ac:dyDescent="0.3">
      <c r="A80">
        <v>2021</v>
      </c>
      <c r="B80">
        <v>2</v>
      </c>
      <c r="C80">
        <v>28</v>
      </c>
      <c r="D80">
        <v>2021.162</v>
      </c>
      <c r="E80">
        <v>35.201246856180603</v>
      </c>
      <c r="F80">
        <v>6.41067569727677</v>
      </c>
      <c r="G80">
        <v>0</v>
      </c>
      <c r="H80">
        <v>0</v>
      </c>
      <c r="I80" s="72">
        <f t="shared" si="4"/>
        <v>41.611922553457376</v>
      </c>
    </row>
    <row r="81" spans="1:9" x14ac:dyDescent="0.3">
      <c r="A81">
        <v>2021</v>
      </c>
      <c r="B81">
        <v>3</v>
      </c>
      <c r="C81">
        <v>31</v>
      </c>
      <c r="D81">
        <v>2021.2470000000001</v>
      </c>
      <c r="E81">
        <v>35.619992506612</v>
      </c>
      <c r="F81">
        <v>6.50555666525507</v>
      </c>
      <c r="G81">
        <v>0</v>
      </c>
      <c r="H81">
        <v>0</v>
      </c>
      <c r="I81" s="72">
        <f t="shared" si="4"/>
        <v>42.125549171867071</v>
      </c>
    </row>
    <row r="82" spans="1:9" x14ac:dyDescent="0.3">
      <c r="A82">
        <v>2021</v>
      </c>
      <c r="B82">
        <v>4</v>
      </c>
      <c r="C82">
        <v>30</v>
      </c>
      <c r="D82">
        <v>2021.329</v>
      </c>
      <c r="E82">
        <v>36.021686430385401</v>
      </c>
      <c r="F82">
        <v>6.6057849713460204</v>
      </c>
      <c r="G82">
        <v>0</v>
      </c>
      <c r="H82">
        <v>0</v>
      </c>
      <c r="I82" s="72">
        <f t="shared" si="4"/>
        <v>42.62747140173142</v>
      </c>
    </row>
    <row r="83" spans="1:9" x14ac:dyDescent="0.3">
      <c r="A83">
        <v>2021</v>
      </c>
      <c r="B83">
        <v>5</v>
      </c>
      <c r="C83">
        <v>31</v>
      </c>
      <c r="D83">
        <v>2021.414</v>
      </c>
      <c r="E83">
        <v>36.433170355589397</v>
      </c>
      <c r="F83">
        <v>6.7095266369069</v>
      </c>
      <c r="G83">
        <v>0</v>
      </c>
      <c r="H83">
        <v>0</v>
      </c>
      <c r="I83" s="72">
        <f t="shared" si="4"/>
        <v>43.142696992496298</v>
      </c>
    </row>
    <row r="84" spans="1:9" x14ac:dyDescent="0.3">
      <c r="A84">
        <v>2021</v>
      </c>
      <c r="B84">
        <v>6</v>
      </c>
      <c r="C84">
        <v>30</v>
      </c>
      <c r="D84">
        <v>2021.4960000000001</v>
      </c>
      <c r="E84">
        <v>36.827915366868901</v>
      </c>
      <c r="F84">
        <v>6.8363179205346798</v>
      </c>
      <c r="G84">
        <v>0</v>
      </c>
      <c r="H84">
        <v>0</v>
      </c>
      <c r="I84" s="106">
        <f t="shared" si="4"/>
        <v>43.664233287403583</v>
      </c>
    </row>
    <row r="85" spans="1:9" x14ac:dyDescent="0.3">
      <c r="A85">
        <v>2021</v>
      </c>
      <c r="B85">
        <v>7</v>
      </c>
      <c r="C85">
        <v>31</v>
      </c>
      <c r="D85">
        <v>2021.5809999999999</v>
      </c>
      <c r="E85">
        <v>37.038689146714802</v>
      </c>
      <c r="F85">
        <v>6.9737365079611999</v>
      </c>
      <c r="G85">
        <v>0</v>
      </c>
      <c r="H85">
        <v>0</v>
      </c>
      <c r="I85" s="72">
        <f t="shared" si="4"/>
        <v>44.012425654676001</v>
      </c>
    </row>
    <row r="86" spans="1:9" x14ac:dyDescent="0.3">
      <c r="A86">
        <v>2021</v>
      </c>
      <c r="B86">
        <v>8</v>
      </c>
      <c r="C86">
        <v>31</v>
      </c>
      <c r="D86">
        <v>2021.6659999999999</v>
      </c>
      <c r="E86">
        <v>37.240373304084599</v>
      </c>
      <c r="F86">
        <v>7.1212808735919699</v>
      </c>
      <c r="G86">
        <v>0</v>
      </c>
      <c r="H86">
        <v>0</v>
      </c>
      <c r="I86" s="72">
        <f t="shared" si="4"/>
        <v>44.36165417767657</v>
      </c>
    </row>
    <row r="87" spans="1:9" x14ac:dyDescent="0.3">
      <c r="A87">
        <v>2021</v>
      </c>
      <c r="B87">
        <v>9</v>
      </c>
      <c r="C87">
        <v>30</v>
      </c>
      <c r="D87">
        <v>2021.748</v>
      </c>
      <c r="E87">
        <v>37.624960401671402</v>
      </c>
      <c r="F87">
        <v>7.2526779633924203</v>
      </c>
      <c r="G87">
        <v>0</v>
      </c>
      <c r="H87">
        <v>0</v>
      </c>
      <c r="I87" s="72">
        <f t="shared" si="4"/>
        <v>44.877638365063824</v>
      </c>
    </row>
    <row r="88" spans="1:9" x14ac:dyDescent="0.3">
      <c r="A88">
        <v>2021</v>
      </c>
      <c r="B88">
        <v>10</v>
      </c>
      <c r="C88">
        <v>31</v>
      </c>
      <c r="D88">
        <v>2021.8330000000001</v>
      </c>
      <c r="E88">
        <v>38.021655850974597</v>
      </c>
      <c r="F88">
        <v>7.3402010282526504</v>
      </c>
      <c r="G88">
        <v>0</v>
      </c>
      <c r="H88">
        <v>0</v>
      </c>
      <c r="I88" s="72">
        <f t="shared" si="4"/>
        <v>45.361856879227247</v>
      </c>
    </row>
    <row r="89" spans="1:9" x14ac:dyDescent="0.3">
      <c r="A89">
        <v>2021</v>
      </c>
      <c r="B89">
        <v>11</v>
      </c>
      <c r="C89">
        <v>30</v>
      </c>
      <c r="D89">
        <v>2021.915</v>
      </c>
      <c r="E89">
        <v>38.402161785052499</v>
      </c>
      <c r="F89">
        <v>7.41450786182605</v>
      </c>
      <c r="G89">
        <v>0</v>
      </c>
      <c r="H89">
        <v>0</v>
      </c>
      <c r="I89" s="72">
        <f t="shared" si="4"/>
        <v>45.816669646878552</v>
      </c>
    </row>
    <row r="90" spans="1:9" x14ac:dyDescent="0.3">
      <c r="A90">
        <v>2021</v>
      </c>
      <c r="B90">
        <v>12</v>
      </c>
      <c r="C90">
        <v>31</v>
      </c>
      <c r="D90">
        <v>2022</v>
      </c>
      <c r="E90">
        <v>38.791888072313398</v>
      </c>
      <c r="F90">
        <v>7.4872963927408902</v>
      </c>
      <c r="G90">
        <v>0</v>
      </c>
      <c r="H90">
        <v>0</v>
      </c>
      <c r="I90" s="72">
        <f t="shared" si="4"/>
        <v>46.279184465054286</v>
      </c>
    </row>
    <row r="91" spans="1:9" x14ac:dyDescent="0.3">
      <c r="A91">
        <v>2022</v>
      </c>
      <c r="B91">
        <v>1</v>
      </c>
      <c r="C91">
        <v>31</v>
      </c>
      <c r="D91">
        <v>2022.085</v>
      </c>
      <c r="E91">
        <v>39.178120005637801</v>
      </c>
      <c r="F91">
        <v>7.5594859497908997</v>
      </c>
      <c r="G91">
        <v>0</v>
      </c>
      <c r="H91">
        <v>0</v>
      </c>
      <c r="I91" s="72">
        <f t="shared" si="4"/>
        <v>46.737605955428698</v>
      </c>
    </row>
    <row r="92" spans="1:9" x14ac:dyDescent="0.3">
      <c r="A92">
        <v>2022</v>
      </c>
      <c r="B92">
        <v>2</v>
      </c>
      <c r="C92">
        <v>28</v>
      </c>
      <c r="D92">
        <v>2022.162</v>
      </c>
      <c r="E92">
        <v>39.523993286181998</v>
      </c>
      <c r="F92">
        <v>7.6254682910334104</v>
      </c>
      <c r="G92">
        <v>0</v>
      </c>
      <c r="H92">
        <v>0</v>
      </c>
      <c r="I92" s="72">
        <f t="shared" si="4"/>
        <v>47.149461577215405</v>
      </c>
    </row>
    <row r="93" spans="1:9" x14ac:dyDescent="0.3">
      <c r="A93">
        <v>2022</v>
      </c>
      <c r="B93">
        <v>3</v>
      </c>
      <c r="C93">
        <v>31</v>
      </c>
      <c r="D93">
        <v>2022.2470000000001</v>
      </c>
      <c r="E93">
        <v>39.903648668902299</v>
      </c>
      <c r="F93">
        <v>7.7060123583147098</v>
      </c>
      <c r="G93">
        <v>0</v>
      </c>
      <c r="H93">
        <v>0</v>
      </c>
      <c r="I93" s="72">
        <f t="shared" si="4"/>
        <v>47.609661027217008</v>
      </c>
    </row>
    <row r="94" spans="1:9" x14ac:dyDescent="0.3">
      <c r="A94">
        <v>2022</v>
      </c>
      <c r="B94">
        <v>4</v>
      </c>
      <c r="C94">
        <v>30</v>
      </c>
      <c r="D94">
        <v>2022.329</v>
      </c>
      <c r="E94">
        <v>40.267375120008502</v>
      </c>
      <c r="F94">
        <v>7.7942561686467497</v>
      </c>
      <c r="G94">
        <v>0</v>
      </c>
      <c r="H94">
        <v>0</v>
      </c>
      <c r="I94" s="72">
        <f t="shared" si="4"/>
        <v>48.061631288655249</v>
      </c>
    </row>
    <row r="95" spans="1:9" x14ac:dyDescent="0.3">
      <c r="A95">
        <v>2022</v>
      </c>
      <c r="B95">
        <v>5</v>
      </c>
      <c r="C95">
        <v>31</v>
      </c>
      <c r="D95">
        <v>2022.414</v>
      </c>
      <c r="E95">
        <v>40.639864996967503</v>
      </c>
      <c r="F95">
        <v>7.8857815751331302</v>
      </c>
      <c r="G95">
        <v>0</v>
      </c>
      <c r="H95">
        <v>0</v>
      </c>
      <c r="I95" s="72">
        <f t="shared" si="4"/>
        <v>48.525646572100634</v>
      </c>
    </row>
    <row r="96" spans="1:9" x14ac:dyDescent="0.3">
      <c r="A96">
        <v>2022</v>
      </c>
      <c r="B96">
        <v>6</v>
      </c>
      <c r="C96">
        <v>30</v>
      </c>
      <c r="D96">
        <v>2022.4960000000001</v>
      </c>
      <c r="E96">
        <v>40.997144235664798</v>
      </c>
      <c r="F96">
        <v>8.0054792282907705</v>
      </c>
      <c r="G96">
        <v>0</v>
      </c>
      <c r="H96">
        <v>0</v>
      </c>
      <c r="I96" s="106">
        <f t="shared" si="4"/>
        <v>49.002623463955572</v>
      </c>
    </row>
    <row r="97" spans="1:9" x14ac:dyDescent="0.3">
      <c r="A97">
        <v>2022</v>
      </c>
      <c r="B97">
        <v>7</v>
      </c>
      <c r="C97">
        <v>31</v>
      </c>
      <c r="D97">
        <v>2022.5809999999999</v>
      </c>
      <c r="E97">
        <v>41.363059736395897</v>
      </c>
      <c r="F97">
        <v>8.1371082393602006</v>
      </c>
      <c r="G97">
        <v>0</v>
      </c>
      <c r="H97">
        <v>0</v>
      </c>
      <c r="I97" s="72">
        <f t="shared" si="4"/>
        <v>49.500167975756099</v>
      </c>
    </row>
    <row r="98" spans="1:9" x14ac:dyDescent="0.3">
      <c r="A98">
        <v>2022</v>
      </c>
      <c r="B98">
        <v>8</v>
      </c>
      <c r="C98">
        <v>31</v>
      </c>
      <c r="D98">
        <v>2022.6659999999999</v>
      </c>
      <c r="E98">
        <v>41.902861146060999</v>
      </c>
      <c r="F98">
        <v>8.28191365871211</v>
      </c>
      <c r="G98">
        <v>0</v>
      </c>
      <c r="H98">
        <v>0</v>
      </c>
      <c r="I98" s="72">
        <f t="shared" si="4"/>
        <v>50.184774804773113</v>
      </c>
    </row>
    <row r="99" spans="1:9" x14ac:dyDescent="0.3">
      <c r="A99">
        <v>2022</v>
      </c>
      <c r="B99">
        <v>9</v>
      </c>
      <c r="C99">
        <v>30</v>
      </c>
      <c r="D99">
        <v>2022.748</v>
      </c>
      <c r="E99">
        <v>42.253251936678303</v>
      </c>
      <c r="F99">
        <v>8.4100987654456905</v>
      </c>
      <c r="G99">
        <v>0</v>
      </c>
      <c r="H99">
        <v>0</v>
      </c>
      <c r="I99" s="72">
        <f t="shared" si="4"/>
        <v>50.663350702123992</v>
      </c>
    </row>
    <row r="100" spans="1:9" x14ac:dyDescent="0.3">
      <c r="A100">
        <v>2022</v>
      </c>
      <c r="B100">
        <v>10</v>
      </c>
      <c r="C100">
        <v>31</v>
      </c>
      <c r="D100">
        <v>2022.8330000000001</v>
      </c>
      <c r="E100">
        <v>42.607447059814099</v>
      </c>
      <c r="F100">
        <v>8.4865992508134802</v>
      </c>
      <c r="G100">
        <v>0</v>
      </c>
      <c r="H100">
        <v>0</v>
      </c>
      <c r="I100" s="72">
        <f t="shared" si="4"/>
        <v>51.094046310627576</v>
      </c>
    </row>
    <row r="101" spans="1:9" x14ac:dyDescent="0.3">
      <c r="A101">
        <v>2022</v>
      </c>
      <c r="B101">
        <v>11</v>
      </c>
      <c r="C101">
        <v>30</v>
      </c>
      <c r="D101">
        <v>2022.915</v>
      </c>
      <c r="E101">
        <v>42.947178966350002</v>
      </c>
      <c r="F101">
        <v>8.5488055699181693</v>
      </c>
      <c r="G101">
        <v>0</v>
      </c>
      <c r="H101">
        <v>0</v>
      </c>
      <c r="I101" s="72">
        <f t="shared" si="4"/>
        <v>51.495984536268168</v>
      </c>
    </row>
    <row r="102" spans="1:9" x14ac:dyDescent="0.3">
      <c r="A102">
        <v>2022</v>
      </c>
      <c r="B102">
        <v>12</v>
      </c>
      <c r="C102">
        <v>31</v>
      </c>
      <c r="D102">
        <v>2023</v>
      </c>
      <c r="E102">
        <v>43.295125981068303</v>
      </c>
      <c r="F102">
        <v>8.6087092838143793</v>
      </c>
      <c r="G102">
        <v>0</v>
      </c>
      <c r="H102">
        <v>0</v>
      </c>
      <c r="I102" s="72">
        <f t="shared" si="4"/>
        <v>51.90383526488268</v>
      </c>
    </row>
    <row r="103" spans="1:9" x14ac:dyDescent="0.3">
      <c r="A103">
        <v>2023</v>
      </c>
      <c r="B103">
        <v>1</v>
      </c>
      <c r="C103">
        <v>31</v>
      </c>
      <c r="D103">
        <v>2023.085</v>
      </c>
      <c r="E103">
        <v>43.639942859772198</v>
      </c>
      <c r="F103">
        <v>8.6681522629447691</v>
      </c>
      <c r="G103">
        <v>0</v>
      </c>
      <c r="H103">
        <v>0</v>
      </c>
      <c r="I103" s="72">
        <f t="shared" si="4"/>
        <v>52.308095122716963</v>
      </c>
    </row>
    <row r="104" spans="1:9" x14ac:dyDescent="0.3">
      <c r="A104">
        <v>2023</v>
      </c>
      <c r="B104">
        <v>2</v>
      </c>
      <c r="C104">
        <v>28</v>
      </c>
      <c r="D104">
        <v>2023.162</v>
      </c>
      <c r="E104">
        <v>43.9487253378473</v>
      </c>
      <c r="F104">
        <v>8.7229293202746199</v>
      </c>
      <c r="G104">
        <v>0</v>
      </c>
      <c r="H104">
        <v>0</v>
      </c>
      <c r="I104" s="72">
        <f t="shared" si="4"/>
        <v>52.671654658121923</v>
      </c>
    </row>
    <row r="105" spans="1:9" x14ac:dyDescent="0.3">
      <c r="A105">
        <v>2023</v>
      </c>
      <c r="B105">
        <v>3</v>
      </c>
      <c r="C105">
        <v>31</v>
      </c>
      <c r="D105">
        <v>2023.2470000000001</v>
      </c>
      <c r="E105">
        <v>44.287514869048103</v>
      </c>
      <c r="F105">
        <v>8.7922373407101801</v>
      </c>
      <c r="G105">
        <v>0</v>
      </c>
      <c r="H105">
        <v>0</v>
      </c>
      <c r="I105" s="72">
        <f t="shared" si="4"/>
        <v>53.079752209758283</v>
      </c>
    </row>
    <row r="106" spans="1:9" x14ac:dyDescent="0.3">
      <c r="A106">
        <v>2023</v>
      </c>
      <c r="B106">
        <v>4</v>
      </c>
      <c r="C106">
        <v>30</v>
      </c>
      <c r="D106">
        <v>2023.329</v>
      </c>
      <c r="E106">
        <v>44.612300276366803</v>
      </c>
      <c r="F106">
        <v>8.8712082649950901</v>
      </c>
      <c r="G106">
        <v>0</v>
      </c>
      <c r="H106">
        <v>0</v>
      </c>
      <c r="I106" s="72">
        <f t="shared" si="4"/>
        <v>53.483508541361893</v>
      </c>
    </row>
    <row r="107" spans="1:9" x14ac:dyDescent="0.3">
      <c r="A107">
        <v>2023</v>
      </c>
      <c r="B107">
        <v>5</v>
      </c>
      <c r="C107">
        <v>31</v>
      </c>
      <c r="D107">
        <v>2023.414</v>
      </c>
      <c r="E107">
        <v>44.944951969081799</v>
      </c>
      <c r="F107">
        <v>8.9532499627260194</v>
      </c>
      <c r="G107">
        <v>0</v>
      </c>
      <c r="H107">
        <v>0</v>
      </c>
      <c r="I107" s="72">
        <f t="shared" si="4"/>
        <v>53.898201931807819</v>
      </c>
    </row>
    <row r="108" spans="1:9" x14ac:dyDescent="0.3">
      <c r="A108">
        <v>2023</v>
      </c>
      <c r="B108">
        <v>6</v>
      </c>
      <c r="C108">
        <v>30</v>
      </c>
      <c r="D108">
        <v>2023.4960000000001</v>
      </c>
      <c r="E108">
        <v>45.2640369905832</v>
      </c>
      <c r="F108">
        <v>9.0679530915491995</v>
      </c>
      <c r="G108">
        <v>0</v>
      </c>
      <c r="H108">
        <v>0</v>
      </c>
      <c r="I108" s="106">
        <f t="shared" si="4"/>
        <v>54.3319900821324</v>
      </c>
    </row>
    <row r="109" spans="1:9" x14ac:dyDescent="0.3">
      <c r="A109">
        <v>2023</v>
      </c>
      <c r="B109">
        <v>7</v>
      </c>
      <c r="C109">
        <v>31</v>
      </c>
      <c r="D109">
        <v>2023.5809999999999</v>
      </c>
      <c r="E109">
        <v>45.590857339081701</v>
      </c>
      <c r="F109">
        <v>9.1954496734701792</v>
      </c>
      <c r="G109">
        <v>0</v>
      </c>
      <c r="H109">
        <v>0</v>
      </c>
      <c r="I109" s="72">
        <f t="shared" si="4"/>
        <v>54.78630701255188</v>
      </c>
    </row>
    <row r="110" spans="1:9" x14ac:dyDescent="0.3">
      <c r="A110">
        <v>2023</v>
      </c>
      <c r="B110">
        <v>8</v>
      </c>
      <c r="C110">
        <v>31</v>
      </c>
      <c r="D110">
        <v>2023.6659999999999</v>
      </c>
      <c r="E110">
        <v>45.916059559829002</v>
      </c>
      <c r="F110">
        <v>9.3375608527752796</v>
      </c>
      <c r="G110">
        <v>0</v>
      </c>
      <c r="H110">
        <v>0</v>
      </c>
      <c r="I110" s="72">
        <f t="shared" si="4"/>
        <v>55.253620412604278</v>
      </c>
    </row>
    <row r="111" spans="1:9" x14ac:dyDescent="0.3">
      <c r="A111">
        <v>2023</v>
      </c>
      <c r="B111">
        <v>9</v>
      </c>
      <c r="C111">
        <v>30</v>
      </c>
      <c r="D111">
        <v>2023.748</v>
      </c>
      <c r="E111">
        <v>46.226619936524699</v>
      </c>
      <c r="F111">
        <v>9.4616921363873097</v>
      </c>
      <c r="G111">
        <v>0</v>
      </c>
      <c r="H111">
        <v>0</v>
      </c>
      <c r="I111" s="72">
        <f t="shared" si="4"/>
        <v>55.688312072912012</v>
      </c>
    </row>
    <row r="112" spans="1:9" x14ac:dyDescent="0.3">
      <c r="A112">
        <v>2023</v>
      </c>
      <c r="B112">
        <v>10</v>
      </c>
      <c r="C112">
        <v>31</v>
      </c>
      <c r="D112">
        <v>2023.8330000000001</v>
      </c>
      <c r="E112">
        <v>46.544566200698803</v>
      </c>
      <c r="F112">
        <v>9.5271650228871998</v>
      </c>
      <c r="G112">
        <v>0</v>
      </c>
      <c r="H112">
        <v>0</v>
      </c>
      <c r="I112" s="72">
        <f t="shared" si="4"/>
        <v>56.071731223585999</v>
      </c>
    </row>
    <row r="113" spans="1:9" x14ac:dyDescent="0.3">
      <c r="A113">
        <v>2023</v>
      </c>
      <c r="B113">
        <v>11</v>
      </c>
      <c r="C113">
        <v>30</v>
      </c>
      <c r="D113">
        <v>2023.915</v>
      </c>
      <c r="E113">
        <v>46.849565096143799</v>
      </c>
      <c r="F113">
        <v>9.5774747731953092</v>
      </c>
      <c r="G113">
        <v>0</v>
      </c>
      <c r="H113">
        <v>0</v>
      </c>
      <c r="I113" s="72">
        <f t="shared" si="4"/>
        <v>56.427039869339112</v>
      </c>
    </row>
    <row r="114" spans="1:9" x14ac:dyDescent="0.3">
      <c r="A114">
        <v>2023</v>
      </c>
      <c r="B114">
        <v>12</v>
      </c>
      <c r="C114">
        <v>31</v>
      </c>
      <c r="D114">
        <v>2024</v>
      </c>
      <c r="E114">
        <v>47.161978990795397</v>
      </c>
      <c r="F114">
        <v>9.6248044072842909</v>
      </c>
      <c r="G114">
        <v>0</v>
      </c>
      <c r="H114">
        <v>0</v>
      </c>
      <c r="I114" s="72">
        <f t="shared" si="4"/>
        <v>56.786783398079692</v>
      </c>
    </row>
    <row r="115" spans="1:9" x14ac:dyDescent="0.3">
      <c r="A115">
        <v>2024</v>
      </c>
      <c r="B115">
        <v>1</v>
      </c>
      <c r="C115">
        <v>31</v>
      </c>
      <c r="D115">
        <v>2024.085</v>
      </c>
      <c r="E115">
        <v>47.471625577251501</v>
      </c>
      <c r="F115">
        <v>9.6718548777253393</v>
      </c>
      <c r="G115">
        <v>0</v>
      </c>
      <c r="H115">
        <v>0</v>
      </c>
      <c r="I115" s="72">
        <f t="shared" si="4"/>
        <v>57.143480454976839</v>
      </c>
    </row>
    <row r="116" spans="1:9" x14ac:dyDescent="0.3">
      <c r="A116">
        <v>2024</v>
      </c>
      <c r="B116">
        <v>2</v>
      </c>
      <c r="C116">
        <v>29</v>
      </c>
      <c r="D116">
        <v>2024.164</v>
      </c>
      <c r="E116">
        <v>47.758815908818399</v>
      </c>
      <c r="F116">
        <v>9.7178546223361906</v>
      </c>
      <c r="G116">
        <v>0</v>
      </c>
      <c r="H116">
        <v>0</v>
      </c>
      <c r="I116" s="72">
        <f t="shared" si="4"/>
        <v>57.476670531154589</v>
      </c>
    </row>
    <row r="117" spans="1:9" x14ac:dyDescent="0.3">
      <c r="A117">
        <v>2024</v>
      </c>
      <c r="B117">
        <v>3</v>
      </c>
      <c r="C117">
        <v>31</v>
      </c>
      <c r="D117">
        <v>2024.249</v>
      </c>
      <c r="E117">
        <v>48.063068816361302</v>
      </c>
      <c r="F117">
        <v>9.7766346804378408</v>
      </c>
      <c r="G117">
        <v>0</v>
      </c>
      <c r="H117">
        <v>0</v>
      </c>
      <c r="I117" s="72">
        <f t="shared" si="4"/>
        <v>57.839703496799146</v>
      </c>
    </row>
    <row r="118" spans="1:9" x14ac:dyDescent="0.3">
      <c r="A118">
        <v>2024</v>
      </c>
      <c r="B118">
        <v>4</v>
      </c>
      <c r="C118">
        <v>30</v>
      </c>
      <c r="D118">
        <v>2024.3309999999999</v>
      </c>
      <c r="E118">
        <v>48.354830311367998</v>
      </c>
      <c r="F118">
        <v>9.8462391083720906</v>
      </c>
      <c r="G118">
        <v>0</v>
      </c>
      <c r="H118">
        <v>0</v>
      </c>
      <c r="I118" s="72">
        <f t="shared" si="4"/>
        <v>58.201069419740087</v>
      </c>
    </row>
    <row r="119" spans="1:9" x14ac:dyDescent="0.3">
      <c r="A119">
        <v>2024</v>
      </c>
      <c r="B119">
        <v>5</v>
      </c>
      <c r="C119">
        <v>31</v>
      </c>
      <c r="D119">
        <v>2024.415</v>
      </c>
      <c r="E119">
        <v>48.653709530524999</v>
      </c>
      <c r="F119">
        <v>9.92085126593871</v>
      </c>
      <c r="G119">
        <v>0</v>
      </c>
      <c r="H119">
        <v>0</v>
      </c>
      <c r="I119" s="72">
        <f t="shared" si="4"/>
        <v>58.574560796463707</v>
      </c>
    </row>
    <row r="120" spans="1:9" x14ac:dyDescent="0.3">
      <c r="A120">
        <v>2024</v>
      </c>
      <c r="B120">
        <v>6</v>
      </c>
      <c r="C120">
        <v>30</v>
      </c>
      <c r="D120">
        <v>2024.4970000000001</v>
      </c>
      <c r="E120">
        <v>48.940450765529803</v>
      </c>
      <c r="F120">
        <v>10.030392543110899</v>
      </c>
      <c r="G120">
        <v>0</v>
      </c>
      <c r="H120">
        <v>0</v>
      </c>
      <c r="I120" s="106">
        <f t="shared" si="4"/>
        <v>58.970843308640703</v>
      </c>
    </row>
    <row r="121" spans="1:9" x14ac:dyDescent="0.3">
      <c r="A121">
        <v>2024</v>
      </c>
      <c r="B121">
        <v>7</v>
      </c>
      <c r="C121">
        <v>31</v>
      </c>
      <c r="D121">
        <v>2024.5820000000001</v>
      </c>
      <c r="E121">
        <v>49.233018616544797</v>
      </c>
      <c r="F121">
        <v>10.154028846566099</v>
      </c>
      <c r="G121">
        <v>0</v>
      </c>
      <c r="H121">
        <v>0</v>
      </c>
      <c r="I121" s="72">
        <f t="shared" si="4"/>
        <v>59.387047463110896</v>
      </c>
    </row>
    <row r="122" spans="1:9" x14ac:dyDescent="0.3">
      <c r="A122">
        <v>2024</v>
      </c>
      <c r="B122">
        <v>8</v>
      </c>
      <c r="C122">
        <v>31</v>
      </c>
      <c r="D122">
        <v>2024.6669999999999</v>
      </c>
      <c r="E122">
        <v>49.519533699340101</v>
      </c>
      <c r="F122">
        <v>10.2926077122933</v>
      </c>
      <c r="G122">
        <v>0</v>
      </c>
      <c r="H122">
        <v>0</v>
      </c>
      <c r="I122" s="72">
        <f t="shared" si="4"/>
        <v>59.812141411633405</v>
      </c>
    </row>
    <row r="123" spans="1:9" x14ac:dyDescent="0.3">
      <c r="A123">
        <v>2024</v>
      </c>
      <c r="B123">
        <v>9</v>
      </c>
      <c r="C123">
        <v>30</v>
      </c>
      <c r="D123">
        <v>2024.749</v>
      </c>
      <c r="E123">
        <v>49.798856664084397</v>
      </c>
      <c r="F123">
        <v>10.410429783570599</v>
      </c>
      <c r="G123">
        <v>0</v>
      </c>
      <c r="H123">
        <v>0</v>
      </c>
      <c r="I123" s="72">
        <f t="shared" si="4"/>
        <v>60.209286447654996</v>
      </c>
    </row>
    <row r="124" spans="1:9" x14ac:dyDescent="0.3">
      <c r="A124">
        <v>2024</v>
      </c>
      <c r="B124">
        <v>10</v>
      </c>
      <c r="C124">
        <v>31</v>
      </c>
      <c r="D124">
        <v>2024.8330000000001</v>
      </c>
      <c r="E124">
        <v>50.084905505780299</v>
      </c>
      <c r="F124">
        <v>10.465624049461701</v>
      </c>
      <c r="G124">
        <v>0</v>
      </c>
      <c r="H124">
        <v>0</v>
      </c>
      <c r="I124" s="72">
        <f t="shared" si="4"/>
        <v>60.550529555242001</v>
      </c>
    </row>
    <row r="125" spans="1:9" x14ac:dyDescent="0.3">
      <c r="A125">
        <v>2024</v>
      </c>
      <c r="B125">
        <v>11</v>
      </c>
      <c r="C125">
        <v>30</v>
      </c>
      <c r="D125">
        <v>2024.915</v>
      </c>
      <c r="E125">
        <v>50.359363615921403</v>
      </c>
      <c r="F125">
        <v>10.5050736408706</v>
      </c>
      <c r="G125">
        <v>0</v>
      </c>
      <c r="H125">
        <v>0</v>
      </c>
      <c r="I125" s="72">
        <f t="shared" si="4"/>
        <v>60.864437256792002</v>
      </c>
    </row>
    <row r="126" spans="1:9" x14ac:dyDescent="0.3">
      <c r="A126">
        <v>2024</v>
      </c>
      <c r="B126">
        <v>12</v>
      </c>
      <c r="C126">
        <v>31</v>
      </c>
      <c r="D126">
        <v>2025</v>
      </c>
      <c r="E126">
        <v>50.640554851938802</v>
      </c>
      <c r="F126">
        <v>10.5411116418458</v>
      </c>
      <c r="G126">
        <v>0</v>
      </c>
      <c r="H126">
        <v>0</v>
      </c>
      <c r="I126" s="72">
        <f t="shared" si="4"/>
        <v>61.181666493784604</v>
      </c>
    </row>
    <row r="127" spans="1:9" x14ac:dyDescent="0.3">
      <c r="A127">
        <v>2025</v>
      </c>
      <c r="B127">
        <v>1</v>
      </c>
      <c r="C127">
        <v>31</v>
      </c>
      <c r="D127">
        <v>2025.085</v>
      </c>
      <c r="E127">
        <v>50.919317850764401</v>
      </c>
      <c r="F127">
        <v>10.577119008794799</v>
      </c>
      <c r="G127">
        <v>0</v>
      </c>
      <c r="H127">
        <v>0</v>
      </c>
      <c r="I127" s="72">
        <f t="shared" si="4"/>
        <v>61.496436859559196</v>
      </c>
    </row>
    <row r="128" spans="1:9" x14ac:dyDescent="0.3">
      <c r="A128">
        <v>2025</v>
      </c>
      <c r="B128">
        <v>2</v>
      </c>
      <c r="C128">
        <v>28</v>
      </c>
      <c r="D128">
        <v>2025.162</v>
      </c>
      <c r="E128">
        <v>51.169039023710603</v>
      </c>
      <c r="F128">
        <v>10.611846986703</v>
      </c>
      <c r="G128">
        <v>0</v>
      </c>
      <c r="H128">
        <v>0</v>
      </c>
      <c r="I128" s="72">
        <f t="shared" si="4"/>
        <v>61.780886010413603</v>
      </c>
    </row>
    <row r="129" spans="1:9" x14ac:dyDescent="0.3">
      <c r="A129">
        <v>2025</v>
      </c>
      <c r="B129">
        <v>3</v>
      </c>
      <c r="C129">
        <v>31</v>
      </c>
      <c r="D129">
        <v>2025.2470000000001</v>
      </c>
      <c r="E129">
        <v>51.443169510512398</v>
      </c>
      <c r="F129">
        <v>10.660862344964199</v>
      </c>
      <c r="G129">
        <v>0</v>
      </c>
      <c r="H129">
        <v>0</v>
      </c>
      <c r="I129" s="72">
        <f t="shared" si="4"/>
        <v>62.104031855476599</v>
      </c>
    </row>
    <row r="130" spans="1:9" x14ac:dyDescent="0.3">
      <c r="A130">
        <v>2025</v>
      </c>
      <c r="B130">
        <v>4</v>
      </c>
      <c r="C130">
        <v>30</v>
      </c>
      <c r="D130">
        <v>2025.329</v>
      </c>
      <c r="E130">
        <v>51.706119561161799</v>
      </c>
      <c r="F130">
        <v>10.722285466109801</v>
      </c>
      <c r="G130">
        <v>0</v>
      </c>
      <c r="H130">
        <v>0</v>
      </c>
      <c r="I130" s="72">
        <f t="shared" si="4"/>
        <v>62.428405027271602</v>
      </c>
    </row>
    <row r="131" spans="1:9" x14ac:dyDescent="0.3">
      <c r="A131">
        <v>2025</v>
      </c>
      <c r="B131">
        <v>5</v>
      </c>
      <c r="C131">
        <v>31</v>
      </c>
      <c r="D131">
        <v>2025.414</v>
      </c>
      <c r="E131">
        <v>51.9755483181005</v>
      </c>
      <c r="F131">
        <v>10.788687605288301</v>
      </c>
      <c r="G131">
        <v>0</v>
      </c>
      <c r="H131">
        <v>0</v>
      </c>
      <c r="I131" s="72">
        <f t="shared" si="4"/>
        <v>62.764235923388803</v>
      </c>
    </row>
    <row r="132" spans="1:9" x14ac:dyDescent="0.3">
      <c r="A132">
        <v>2025</v>
      </c>
      <c r="B132">
        <v>6</v>
      </c>
      <c r="C132">
        <v>30</v>
      </c>
      <c r="D132">
        <v>2025.4960000000001</v>
      </c>
      <c r="E132">
        <v>52.2340973524188</v>
      </c>
      <c r="F132">
        <v>10.893504410122301</v>
      </c>
      <c r="G132">
        <v>0</v>
      </c>
      <c r="H132">
        <v>0</v>
      </c>
      <c r="I132" s="106">
        <f t="shared" si="4"/>
        <v>63.127601762541104</v>
      </c>
    </row>
    <row r="133" spans="1:9" x14ac:dyDescent="0.3">
      <c r="A133">
        <v>2025</v>
      </c>
      <c r="B133">
        <v>7</v>
      </c>
      <c r="C133">
        <v>31</v>
      </c>
      <c r="D133">
        <v>2025.5809999999999</v>
      </c>
      <c r="E133">
        <v>52.499028156790999</v>
      </c>
      <c r="F133">
        <v>11.0131245664808</v>
      </c>
      <c r="G133">
        <v>0</v>
      </c>
      <c r="H133">
        <v>0</v>
      </c>
      <c r="I133" s="72">
        <f t="shared" si="4"/>
        <v>63.512152723271797</v>
      </c>
    </row>
    <row r="134" spans="1:9" x14ac:dyDescent="0.3">
      <c r="A134">
        <v>2025</v>
      </c>
      <c r="B134">
        <v>8</v>
      </c>
      <c r="C134">
        <v>31</v>
      </c>
      <c r="D134">
        <v>2025.6659999999999</v>
      </c>
      <c r="E134">
        <v>52.635944472848898</v>
      </c>
      <c r="F134">
        <v>11.1488397262176</v>
      </c>
      <c r="G134">
        <v>0</v>
      </c>
      <c r="H134">
        <v>0</v>
      </c>
      <c r="I134" s="72">
        <f t="shared" si="4"/>
        <v>63.7847841990665</v>
      </c>
    </row>
    <row r="135" spans="1:9" x14ac:dyDescent="0.3">
      <c r="A135">
        <v>2025</v>
      </c>
      <c r="B135">
        <v>9</v>
      </c>
      <c r="C135">
        <v>30</v>
      </c>
      <c r="D135">
        <v>2025.748</v>
      </c>
      <c r="E135">
        <v>52.762765486899703</v>
      </c>
      <c r="F135">
        <v>11.2624902744432</v>
      </c>
      <c r="G135">
        <v>0</v>
      </c>
      <c r="H135">
        <v>0</v>
      </c>
      <c r="I135" s="72">
        <f t="shared" si="4"/>
        <v>64.025255761342905</v>
      </c>
    </row>
    <row r="136" spans="1:9" x14ac:dyDescent="0.3">
      <c r="A136">
        <v>2025</v>
      </c>
      <c r="B136">
        <v>10</v>
      </c>
      <c r="C136">
        <v>31</v>
      </c>
      <c r="D136">
        <v>2025.8330000000001</v>
      </c>
      <c r="E136">
        <v>52.893267113204601</v>
      </c>
      <c r="F136">
        <v>11.3078329022904</v>
      </c>
      <c r="G136">
        <v>0</v>
      </c>
      <c r="H136">
        <v>0</v>
      </c>
      <c r="I136" s="72">
        <f t="shared" si="4"/>
        <v>64.201100015495001</v>
      </c>
    </row>
    <row r="137" spans="1:9" x14ac:dyDescent="0.3">
      <c r="A137">
        <v>2025</v>
      </c>
      <c r="B137">
        <v>11</v>
      </c>
      <c r="C137">
        <v>30</v>
      </c>
      <c r="D137">
        <v>2025.915</v>
      </c>
      <c r="E137">
        <v>53.018955949035103</v>
      </c>
      <c r="F137">
        <v>11.3364822786047</v>
      </c>
      <c r="G137">
        <v>0</v>
      </c>
      <c r="H137">
        <v>0</v>
      </c>
      <c r="I137" s="72">
        <f t="shared" si="4"/>
        <v>64.355438227639809</v>
      </c>
    </row>
    <row r="138" spans="1:9" x14ac:dyDescent="0.3">
      <c r="A138">
        <v>2025</v>
      </c>
      <c r="B138">
        <v>12</v>
      </c>
      <c r="C138">
        <v>31</v>
      </c>
      <c r="D138">
        <v>2026</v>
      </c>
      <c r="E138">
        <v>53.148291249703703</v>
      </c>
      <c r="F138">
        <v>11.360822037707401</v>
      </c>
      <c r="G138">
        <v>0</v>
      </c>
      <c r="H138">
        <v>0</v>
      </c>
      <c r="I138" s="72">
        <f t="shared" si="4"/>
        <v>64.509113287411111</v>
      </c>
    </row>
    <row r="139" spans="1:9" x14ac:dyDescent="0.3">
      <c r="A139">
        <v>2026</v>
      </c>
      <c r="B139">
        <v>1</v>
      </c>
      <c r="C139">
        <v>31</v>
      </c>
      <c r="D139">
        <v>2026.085</v>
      </c>
      <c r="E139">
        <v>53.2770803071788</v>
      </c>
      <c r="F139">
        <v>11.384957330570799</v>
      </c>
      <c r="G139">
        <v>0</v>
      </c>
      <c r="H139">
        <v>0</v>
      </c>
      <c r="I139" s="72">
        <f t="shared" ref="I139:I202" si="5">E139+F139</f>
        <v>64.662037637749592</v>
      </c>
    </row>
    <row r="140" spans="1:9" x14ac:dyDescent="0.3">
      <c r="A140">
        <v>2026</v>
      </c>
      <c r="B140">
        <v>2</v>
      </c>
      <c r="C140">
        <v>28</v>
      </c>
      <c r="D140">
        <v>2026.162</v>
      </c>
      <c r="E140">
        <v>53.392938938713897</v>
      </c>
      <c r="F140">
        <v>11.4089691789322</v>
      </c>
      <c r="G140">
        <v>0</v>
      </c>
      <c r="H140">
        <v>0</v>
      </c>
      <c r="I140" s="72">
        <f t="shared" si="5"/>
        <v>64.801908117646093</v>
      </c>
    </row>
    <row r="141" spans="1:9" x14ac:dyDescent="0.3">
      <c r="A141">
        <v>2026</v>
      </c>
      <c r="B141">
        <v>3</v>
      </c>
      <c r="C141">
        <v>31</v>
      </c>
      <c r="D141">
        <v>2026.2470000000001</v>
      </c>
      <c r="E141">
        <v>53.520696789621702</v>
      </c>
      <c r="F141">
        <v>11.4466895172422</v>
      </c>
      <c r="G141">
        <v>0</v>
      </c>
      <c r="H141">
        <v>0</v>
      </c>
      <c r="I141" s="72">
        <f t="shared" si="5"/>
        <v>64.967386306863901</v>
      </c>
    </row>
    <row r="142" spans="1:9" x14ac:dyDescent="0.3">
      <c r="A142">
        <v>2026</v>
      </c>
      <c r="B142">
        <v>4</v>
      </c>
      <c r="C142">
        <v>30</v>
      </c>
      <c r="D142">
        <v>2026.329</v>
      </c>
      <c r="E142">
        <v>53.643821684151597</v>
      </c>
      <c r="F142">
        <v>11.498012004161099</v>
      </c>
      <c r="G142">
        <v>0</v>
      </c>
      <c r="H142">
        <v>0</v>
      </c>
      <c r="I142" s="72">
        <f t="shared" si="5"/>
        <v>65.141833688312701</v>
      </c>
    </row>
    <row r="143" spans="1:9" x14ac:dyDescent="0.3">
      <c r="A143">
        <v>2026</v>
      </c>
      <c r="B143">
        <v>5</v>
      </c>
      <c r="C143">
        <v>31</v>
      </c>
      <c r="D143">
        <v>2026.414</v>
      </c>
      <c r="E143">
        <v>53.770524871368103</v>
      </c>
      <c r="F143">
        <v>11.553918159943301</v>
      </c>
      <c r="G143">
        <v>0</v>
      </c>
      <c r="H143">
        <v>0</v>
      </c>
      <c r="I143" s="72">
        <f t="shared" si="5"/>
        <v>65.324443031311404</v>
      </c>
    </row>
    <row r="144" spans="1:9" x14ac:dyDescent="0.3">
      <c r="A144">
        <v>2026</v>
      </c>
      <c r="B144">
        <v>6</v>
      </c>
      <c r="C144">
        <v>30</v>
      </c>
      <c r="D144">
        <v>2026.4960000000001</v>
      </c>
      <c r="E144">
        <v>53.892634734302703</v>
      </c>
      <c r="F144">
        <v>11.6510754960958</v>
      </c>
      <c r="G144">
        <v>0</v>
      </c>
      <c r="H144">
        <v>0</v>
      </c>
      <c r="I144" s="106">
        <f t="shared" si="5"/>
        <v>65.543710230398503</v>
      </c>
    </row>
    <row r="145" spans="1:9" x14ac:dyDescent="0.3">
      <c r="A145">
        <v>2026</v>
      </c>
      <c r="B145">
        <v>7</v>
      </c>
      <c r="C145">
        <v>31</v>
      </c>
      <c r="D145">
        <v>2026.5809999999999</v>
      </c>
      <c r="E145">
        <v>54.018294820813402</v>
      </c>
      <c r="F145">
        <v>11.7632518071712</v>
      </c>
      <c r="G145">
        <v>0</v>
      </c>
      <c r="H145">
        <v>0</v>
      </c>
      <c r="I145" s="72">
        <f t="shared" si="5"/>
        <v>65.781546627984596</v>
      </c>
    </row>
    <row r="146" spans="1:9" x14ac:dyDescent="0.3">
      <c r="A146">
        <v>2026</v>
      </c>
      <c r="B146">
        <v>8</v>
      </c>
      <c r="C146">
        <v>31</v>
      </c>
      <c r="D146">
        <v>2026.6659999999999</v>
      </c>
      <c r="E146">
        <v>54.143429196937198</v>
      </c>
      <c r="F146">
        <v>11.8925809787735</v>
      </c>
      <c r="G146">
        <v>0</v>
      </c>
      <c r="H146">
        <v>0</v>
      </c>
      <c r="I146" s="72">
        <f t="shared" si="5"/>
        <v>66.0360101757107</v>
      </c>
    </row>
    <row r="147" spans="1:9" x14ac:dyDescent="0.3">
      <c r="A147">
        <v>2026</v>
      </c>
      <c r="B147">
        <v>9</v>
      </c>
      <c r="C147">
        <v>30</v>
      </c>
      <c r="D147">
        <v>2026.748</v>
      </c>
      <c r="E147">
        <v>54.264029199609602</v>
      </c>
      <c r="F147">
        <v>11.9993928188571</v>
      </c>
      <c r="G147">
        <v>0</v>
      </c>
      <c r="H147">
        <v>0</v>
      </c>
      <c r="I147" s="72">
        <f t="shared" si="5"/>
        <v>66.263422018466699</v>
      </c>
    </row>
    <row r="148" spans="1:9" x14ac:dyDescent="0.3">
      <c r="A148">
        <v>2026</v>
      </c>
      <c r="B148">
        <v>10</v>
      </c>
      <c r="C148">
        <v>31</v>
      </c>
      <c r="D148">
        <v>2026.8330000000001</v>
      </c>
      <c r="E148">
        <v>54.388137670545198</v>
      </c>
      <c r="F148">
        <v>12.033576794097099</v>
      </c>
      <c r="G148">
        <v>0</v>
      </c>
      <c r="H148">
        <v>0</v>
      </c>
      <c r="I148" s="72">
        <f t="shared" si="5"/>
        <v>66.421714464642292</v>
      </c>
    </row>
    <row r="149" spans="1:9" x14ac:dyDescent="0.3">
      <c r="A149">
        <v>2026</v>
      </c>
      <c r="B149">
        <v>11</v>
      </c>
      <c r="C149">
        <v>30</v>
      </c>
      <c r="D149">
        <v>2026.915</v>
      </c>
      <c r="E149">
        <v>54.507682997732502</v>
      </c>
      <c r="F149">
        <v>12.0508595003131</v>
      </c>
      <c r="G149">
        <v>0</v>
      </c>
      <c r="H149">
        <v>0</v>
      </c>
      <c r="I149" s="72">
        <f t="shared" si="5"/>
        <v>66.558542498045597</v>
      </c>
    </row>
    <row r="150" spans="1:9" x14ac:dyDescent="0.3">
      <c r="A150">
        <v>2026</v>
      </c>
      <c r="B150">
        <v>12</v>
      </c>
      <c r="C150">
        <v>31</v>
      </c>
      <c r="D150">
        <v>2027</v>
      </c>
      <c r="E150">
        <v>54.630705132354898</v>
      </c>
      <c r="F150">
        <v>12.063483903256399</v>
      </c>
      <c r="G150">
        <v>0</v>
      </c>
      <c r="H150">
        <v>0</v>
      </c>
      <c r="I150" s="72">
        <f t="shared" si="5"/>
        <v>66.694189035611302</v>
      </c>
    </row>
    <row r="151" spans="1:9" x14ac:dyDescent="0.3">
      <c r="A151">
        <v>2027</v>
      </c>
      <c r="B151">
        <v>1</v>
      </c>
      <c r="C151">
        <v>31</v>
      </c>
      <c r="D151">
        <v>2027.085</v>
      </c>
      <c r="E151">
        <v>54.753216181879999</v>
      </c>
      <c r="F151">
        <v>12.0762171988797</v>
      </c>
      <c r="G151">
        <v>0</v>
      </c>
      <c r="H151">
        <v>0</v>
      </c>
      <c r="I151" s="72">
        <f t="shared" si="5"/>
        <v>66.829433380759696</v>
      </c>
    </row>
    <row r="152" spans="1:9" x14ac:dyDescent="0.3">
      <c r="A152">
        <v>2027</v>
      </c>
      <c r="B152">
        <v>2</v>
      </c>
      <c r="C152">
        <v>28</v>
      </c>
      <c r="D152">
        <v>2027.162</v>
      </c>
      <c r="E152">
        <v>54.863434407006601</v>
      </c>
      <c r="F152">
        <v>12.0903081151789</v>
      </c>
      <c r="G152">
        <v>0</v>
      </c>
      <c r="H152">
        <v>0</v>
      </c>
      <c r="I152" s="72">
        <f t="shared" si="5"/>
        <v>66.953742522185507</v>
      </c>
    </row>
    <row r="153" spans="1:9" x14ac:dyDescent="0.3">
      <c r="A153">
        <v>2027</v>
      </c>
      <c r="B153">
        <v>3</v>
      </c>
      <c r="C153">
        <v>31</v>
      </c>
      <c r="D153">
        <v>2027.2470000000001</v>
      </c>
      <c r="E153">
        <v>54.984980610140397</v>
      </c>
      <c r="F153">
        <v>12.1178971046384</v>
      </c>
      <c r="G153">
        <v>0</v>
      </c>
      <c r="H153">
        <v>0</v>
      </c>
      <c r="I153" s="72">
        <f t="shared" si="5"/>
        <v>67.102877714778799</v>
      </c>
    </row>
    <row r="154" spans="1:9" x14ac:dyDescent="0.3">
      <c r="A154">
        <v>2027</v>
      </c>
      <c r="B154">
        <v>4</v>
      </c>
      <c r="C154">
        <v>30</v>
      </c>
      <c r="D154">
        <v>2027.329</v>
      </c>
      <c r="E154">
        <v>55.102127156421403</v>
      </c>
      <c r="F154">
        <v>12.1604537456119</v>
      </c>
      <c r="G154">
        <v>0</v>
      </c>
      <c r="H154">
        <v>0</v>
      </c>
      <c r="I154" s="72">
        <f t="shared" si="5"/>
        <v>67.262580902033307</v>
      </c>
    </row>
    <row r="155" spans="1:9" x14ac:dyDescent="0.3">
      <c r="A155">
        <v>2027</v>
      </c>
      <c r="B155">
        <v>5</v>
      </c>
      <c r="C155">
        <v>31</v>
      </c>
      <c r="D155">
        <v>2027.414</v>
      </c>
      <c r="E155">
        <v>55.222686544050397</v>
      </c>
      <c r="F155">
        <v>12.2076135325475</v>
      </c>
      <c r="G155">
        <v>0</v>
      </c>
      <c r="H155">
        <v>0</v>
      </c>
      <c r="I155" s="72">
        <f t="shared" si="5"/>
        <v>67.430300076597902</v>
      </c>
    </row>
    <row r="156" spans="1:9" x14ac:dyDescent="0.3">
      <c r="A156">
        <v>2027</v>
      </c>
      <c r="B156">
        <v>6</v>
      </c>
      <c r="C156">
        <v>30</v>
      </c>
      <c r="D156">
        <v>2027.4960000000001</v>
      </c>
      <c r="E156">
        <v>55.338883344542502</v>
      </c>
      <c r="F156">
        <v>12.298664682425301</v>
      </c>
      <c r="G156">
        <v>0</v>
      </c>
      <c r="H156">
        <v>0</v>
      </c>
      <c r="I156" s="106">
        <f t="shared" si="5"/>
        <v>67.637548026967806</v>
      </c>
    </row>
    <row r="157" spans="1:9" x14ac:dyDescent="0.3">
      <c r="A157">
        <v>2027</v>
      </c>
      <c r="B157">
        <v>7</v>
      </c>
      <c r="C157">
        <v>31</v>
      </c>
      <c r="D157">
        <v>2027.5809999999999</v>
      </c>
      <c r="E157">
        <v>55.458466707974097</v>
      </c>
      <c r="F157">
        <v>12.4052481531804</v>
      </c>
      <c r="G157">
        <v>0</v>
      </c>
      <c r="H157">
        <v>0</v>
      </c>
      <c r="I157" s="72">
        <f t="shared" si="5"/>
        <v>67.863714861154492</v>
      </c>
    </row>
    <row r="158" spans="1:9" x14ac:dyDescent="0.3">
      <c r="A158">
        <v>2027</v>
      </c>
      <c r="B158">
        <v>8</v>
      </c>
      <c r="C158">
        <v>31</v>
      </c>
      <c r="D158">
        <v>2027.6659999999999</v>
      </c>
      <c r="E158">
        <v>55.5775581542919</v>
      </c>
      <c r="F158">
        <v>12.5300131482661</v>
      </c>
      <c r="G158">
        <v>0</v>
      </c>
      <c r="H158">
        <v>0</v>
      </c>
      <c r="I158" s="72">
        <f t="shared" si="5"/>
        <v>68.107571302558</v>
      </c>
    </row>
    <row r="159" spans="1:9" x14ac:dyDescent="0.3">
      <c r="A159">
        <v>2027</v>
      </c>
      <c r="B159">
        <v>9</v>
      </c>
      <c r="C159">
        <v>30</v>
      </c>
      <c r="D159">
        <v>2027.748</v>
      </c>
      <c r="E159">
        <v>55.6923421494878</v>
      </c>
      <c r="F159">
        <v>12.6318446155164</v>
      </c>
      <c r="G159">
        <v>0</v>
      </c>
      <c r="H159">
        <v>0</v>
      </c>
      <c r="I159" s="72">
        <f t="shared" si="5"/>
        <v>68.3241867650042</v>
      </c>
    </row>
    <row r="160" spans="1:9" x14ac:dyDescent="0.3">
      <c r="A160">
        <v>2027</v>
      </c>
      <c r="B160">
        <v>10</v>
      </c>
      <c r="C160">
        <v>31</v>
      </c>
      <c r="D160">
        <v>2027.8330000000001</v>
      </c>
      <c r="E160">
        <v>55.810473609086699</v>
      </c>
      <c r="F160">
        <v>12.657509445808</v>
      </c>
      <c r="G160">
        <v>0</v>
      </c>
      <c r="H160">
        <v>0</v>
      </c>
      <c r="I160" s="72">
        <f t="shared" si="5"/>
        <v>68.467983054894702</v>
      </c>
    </row>
    <row r="161" spans="1:9" x14ac:dyDescent="0.3">
      <c r="A161">
        <v>2027</v>
      </c>
      <c r="B161">
        <v>11</v>
      </c>
      <c r="C161">
        <v>30</v>
      </c>
      <c r="D161">
        <v>2027.915</v>
      </c>
      <c r="E161">
        <v>55.924276493030298</v>
      </c>
      <c r="F161">
        <v>12.6660451788124</v>
      </c>
      <c r="G161">
        <v>0</v>
      </c>
      <c r="H161">
        <v>0</v>
      </c>
      <c r="I161" s="72">
        <f t="shared" si="5"/>
        <v>68.590321671842702</v>
      </c>
    </row>
    <row r="162" spans="1:9" x14ac:dyDescent="0.3">
      <c r="A162">
        <v>2027</v>
      </c>
      <c r="B162">
        <v>12</v>
      </c>
      <c r="C162">
        <v>31</v>
      </c>
      <c r="D162">
        <v>2028</v>
      </c>
      <c r="E162">
        <v>56.041395386680499</v>
      </c>
      <c r="F162">
        <v>12.6696162514306</v>
      </c>
      <c r="G162">
        <v>0</v>
      </c>
      <c r="H162">
        <v>0</v>
      </c>
      <c r="I162" s="72">
        <f t="shared" si="5"/>
        <v>68.711011638111103</v>
      </c>
    </row>
    <row r="163" spans="1:9" x14ac:dyDescent="0.3">
      <c r="A163">
        <v>2028</v>
      </c>
      <c r="B163">
        <v>1</v>
      </c>
      <c r="C163">
        <v>31</v>
      </c>
      <c r="D163">
        <v>2028.085</v>
      </c>
      <c r="E163">
        <v>56.158035975342202</v>
      </c>
      <c r="F163">
        <v>12.6735147750581</v>
      </c>
      <c r="G163">
        <v>0</v>
      </c>
      <c r="H163">
        <v>0</v>
      </c>
      <c r="I163" s="72">
        <f t="shared" si="5"/>
        <v>68.831550750400297</v>
      </c>
    </row>
    <row r="164" spans="1:9" x14ac:dyDescent="0.3">
      <c r="A164">
        <v>2028</v>
      </c>
      <c r="B164">
        <v>2</v>
      </c>
      <c r="C164">
        <v>29</v>
      </c>
      <c r="D164">
        <v>2028.164</v>
      </c>
      <c r="E164">
        <v>56.266720705030998</v>
      </c>
      <c r="F164">
        <v>12.6805001819097</v>
      </c>
      <c r="G164">
        <v>0</v>
      </c>
      <c r="H164">
        <v>0</v>
      </c>
      <c r="I164" s="72">
        <f t="shared" si="5"/>
        <v>68.947220886940698</v>
      </c>
    </row>
    <row r="165" spans="1:9" x14ac:dyDescent="0.3">
      <c r="A165">
        <v>2028</v>
      </c>
      <c r="B165">
        <v>3</v>
      </c>
      <c r="C165">
        <v>31</v>
      </c>
      <c r="D165">
        <v>2028.249</v>
      </c>
      <c r="E165">
        <v>56.382443073342699</v>
      </c>
      <c r="F165">
        <v>12.700859105515001</v>
      </c>
      <c r="G165">
        <v>0</v>
      </c>
      <c r="H165">
        <v>0</v>
      </c>
      <c r="I165" s="72">
        <f t="shared" si="5"/>
        <v>69.083302178857707</v>
      </c>
    </row>
    <row r="166" spans="1:9" x14ac:dyDescent="0.3">
      <c r="A166">
        <v>2028</v>
      </c>
      <c r="B166">
        <v>4</v>
      </c>
      <c r="C166">
        <v>30</v>
      </c>
      <c r="D166">
        <v>2028.3309999999999</v>
      </c>
      <c r="E166">
        <v>56.493984405480802</v>
      </c>
      <c r="F166">
        <v>12.736571444981401</v>
      </c>
      <c r="G166">
        <v>0</v>
      </c>
      <c r="H166">
        <v>0</v>
      </c>
      <c r="I166" s="72">
        <f t="shared" si="5"/>
        <v>69.230555850462196</v>
      </c>
    </row>
    <row r="167" spans="1:9" x14ac:dyDescent="0.3">
      <c r="A167">
        <v>2028</v>
      </c>
      <c r="B167">
        <v>5</v>
      </c>
      <c r="C167">
        <v>31</v>
      </c>
      <c r="D167">
        <v>2028.415</v>
      </c>
      <c r="E167">
        <v>56.608783329795301</v>
      </c>
      <c r="F167">
        <v>12.778810162647201</v>
      </c>
      <c r="G167">
        <v>0</v>
      </c>
      <c r="H167">
        <v>0</v>
      </c>
      <c r="I167" s="72">
        <f t="shared" si="5"/>
        <v>69.387593492442505</v>
      </c>
    </row>
    <row r="168" spans="1:9" x14ac:dyDescent="0.3">
      <c r="A168">
        <v>2028</v>
      </c>
      <c r="B168">
        <v>6</v>
      </c>
      <c r="C168">
        <v>30</v>
      </c>
      <c r="D168">
        <v>2028.4970000000001</v>
      </c>
      <c r="E168">
        <v>56.719435880361402</v>
      </c>
      <c r="F168">
        <v>12.8655812806453</v>
      </c>
      <c r="G168">
        <v>0</v>
      </c>
      <c r="H168">
        <v>0</v>
      </c>
      <c r="I168" s="106">
        <f t="shared" si="5"/>
        <v>69.585017161006704</v>
      </c>
    </row>
    <row r="169" spans="1:9" x14ac:dyDescent="0.3">
      <c r="A169">
        <v>2028</v>
      </c>
      <c r="B169">
        <v>7</v>
      </c>
      <c r="C169">
        <v>31</v>
      </c>
      <c r="D169">
        <v>2028.5820000000001</v>
      </c>
      <c r="E169">
        <v>56.833321402941301</v>
      </c>
      <c r="F169">
        <v>12.9687512210372</v>
      </c>
      <c r="G169">
        <v>0</v>
      </c>
      <c r="H169">
        <v>0</v>
      </c>
      <c r="I169" s="72">
        <f t="shared" si="5"/>
        <v>69.802072623978503</v>
      </c>
    </row>
    <row r="170" spans="1:9" x14ac:dyDescent="0.3">
      <c r="A170">
        <v>2028</v>
      </c>
      <c r="B170">
        <v>8</v>
      </c>
      <c r="C170">
        <v>31</v>
      </c>
      <c r="D170">
        <v>2028.6669999999999</v>
      </c>
      <c r="E170">
        <v>56.946746547514401</v>
      </c>
      <c r="F170">
        <v>13.089708693069699</v>
      </c>
      <c r="G170">
        <v>0</v>
      </c>
      <c r="H170">
        <v>0</v>
      </c>
      <c r="I170" s="72">
        <f t="shared" si="5"/>
        <v>70.036455240584104</v>
      </c>
    </row>
    <row r="171" spans="1:9" x14ac:dyDescent="0.3">
      <c r="A171">
        <v>2028</v>
      </c>
      <c r="B171">
        <v>9</v>
      </c>
      <c r="C171">
        <v>30</v>
      </c>
      <c r="D171">
        <v>2028.749</v>
      </c>
      <c r="E171">
        <v>57.056076874010699</v>
      </c>
      <c r="F171">
        <v>13.1848593572855</v>
      </c>
      <c r="G171">
        <v>0</v>
      </c>
      <c r="H171">
        <v>0</v>
      </c>
      <c r="I171" s="72">
        <f t="shared" si="5"/>
        <v>70.240936231296203</v>
      </c>
    </row>
    <row r="172" spans="1:9" x14ac:dyDescent="0.3">
      <c r="A172">
        <v>2028</v>
      </c>
      <c r="B172">
        <v>10</v>
      </c>
      <c r="C172">
        <v>31</v>
      </c>
      <c r="D172">
        <v>2028.8330000000001</v>
      </c>
      <c r="E172">
        <v>57.168603534409399</v>
      </c>
      <c r="F172">
        <v>13.203214294076099</v>
      </c>
      <c r="G172">
        <v>0</v>
      </c>
      <c r="H172">
        <v>0</v>
      </c>
      <c r="I172" s="72">
        <f t="shared" si="5"/>
        <v>70.371817828485504</v>
      </c>
    </row>
    <row r="173" spans="1:9" x14ac:dyDescent="0.3">
      <c r="A173">
        <v>2028</v>
      </c>
      <c r="B173">
        <v>11</v>
      </c>
      <c r="C173">
        <v>30</v>
      </c>
      <c r="D173">
        <v>2028.915</v>
      </c>
      <c r="E173">
        <v>57.2770167937934</v>
      </c>
      <c r="F173">
        <v>13.2046149336642</v>
      </c>
      <c r="G173">
        <v>0</v>
      </c>
      <c r="H173">
        <v>0</v>
      </c>
      <c r="I173" s="72">
        <f t="shared" si="5"/>
        <v>70.481631727457597</v>
      </c>
    </row>
    <row r="174" spans="1:9" x14ac:dyDescent="0.3">
      <c r="A174">
        <v>2028</v>
      </c>
      <c r="B174">
        <v>12</v>
      </c>
      <c r="C174">
        <v>31</v>
      </c>
      <c r="D174">
        <v>2029</v>
      </c>
      <c r="E174">
        <v>57.388599027879302</v>
      </c>
      <c r="F174">
        <v>13.2009781526677</v>
      </c>
      <c r="G174">
        <v>0</v>
      </c>
      <c r="H174">
        <v>0</v>
      </c>
      <c r="I174" s="72">
        <f t="shared" si="5"/>
        <v>70.589577180546996</v>
      </c>
    </row>
    <row r="175" spans="1:9" x14ac:dyDescent="0.3">
      <c r="A175">
        <v>2029</v>
      </c>
      <c r="B175">
        <v>1</v>
      </c>
      <c r="C175">
        <v>31</v>
      </c>
      <c r="D175">
        <v>2029.085</v>
      </c>
      <c r="E175">
        <v>57.4997335243023</v>
      </c>
      <c r="F175">
        <v>13.197921470100701</v>
      </c>
      <c r="G175">
        <v>0</v>
      </c>
      <c r="H175">
        <v>0</v>
      </c>
      <c r="I175" s="72">
        <f t="shared" si="5"/>
        <v>70.697654994402995</v>
      </c>
    </row>
    <row r="176" spans="1:9" x14ac:dyDescent="0.3">
      <c r="A176">
        <v>2029</v>
      </c>
      <c r="B176">
        <v>2</v>
      </c>
      <c r="C176">
        <v>28</v>
      </c>
      <c r="D176">
        <v>2029.162</v>
      </c>
      <c r="E176">
        <v>57.599730283050498</v>
      </c>
      <c r="F176">
        <v>13.198574796563999</v>
      </c>
      <c r="G176">
        <v>0</v>
      </c>
      <c r="H176">
        <v>0</v>
      </c>
      <c r="I176" s="72">
        <f t="shared" si="5"/>
        <v>70.798305079614494</v>
      </c>
    </row>
    <row r="177" spans="1:9" x14ac:dyDescent="0.3">
      <c r="A177">
        <v>2029</v>
      </c>
      <c r="B177">
        <v>3</v>
      </c>
      <c r="C177">
        <v>31</v>
      </c>
      <c r="D177">
        <v>2029.2470000000001</v>
      </c>
      <c r="E177">
        <v>57.710019440911204</v>
      </c>
      <c r="F177">
        <v>13.2126911501822</v>
      </c>
      <c r="G177">
        <v>0</v>
      </c>
      <c r="H177">
        <v>0</v>
      </c>
      <c r="I177" s="72">
        <f t="shared" si="5"/>
        <v>70.922710591093406</v>
      </c>
    </row>
    <row r="178" spans="1:9" x14ac:dyDescent="0.3">
      <c r="A178">
        <v>2029</v>
      </c>
      <c r="B178">
        <v>4</v>
      </c>
      <c r="C178">
        <v>30</v>
      </c>
      <c r="D178">
        <v>2029.329</v>
      </c>
      <c r="E178">
        <v>57.816331336760001</v>
      </c>
      <c r="F178">
        <v>13.243026431094201</v>
      </c>
      <c r="G178">
        <v>0</v>
      </c>
      <c r="H178">
        <v>0</v>
      </c>
      <c r="I178" s="72">
        <f t="shared" si="5"/>
        <v>71.059357767854209</v>
      </c>
    </row>
    <row r="179" spans="1:9" x14ac:dyDescent="0.3">
      <c r="A179">
        <v>2029</v>
      </c>
      <c r="B179">
        <v>5</v>
      </c>
      <c r="C179">
        <v>31</v>
      </c>
      <c r="D179">
        <v>2029.414</v>
      </c>
      <c r="E179">
        <v>57.925755790060101</v>
      </c>
      <c r="F179">
        <v>13.2799422369556</v>
      </c>
      <c r="G179">
        <v>0</v>
      </c>
      <c r="H179">
        <v>0</v>
      </c>
      <c r="I179" s="72">
        <f t="shared" si="5"/>
        <v>71.2056980270157</v>
      </c>
    </row>
    <row r="180" spans="1:9" x14ac:dyDescent="0.3">
      <c r="A180">
        <v>2029</v>
      </c>
      <c r="B180">
        <v>6</v>
      </c>
      <c r="C180">
        <v>30</v>
      </c>
      <c r="D180">
        <v>2029.4960000000001</v>
      </c>
      <c r="E180">
        <v>58.031235403591801</v>
      </c>
      <c r="F180">
        <v>13.3631610572585</v>
      </c>
      <c r="G180">
        <v>0</v>
      </c>
      <c r="H180">
        <v>0</v>
      </c>
      <c r="I180" s="106">
        <f t="shared" si="5"/>
        <v>71.394396460850302</v>
      </c>
    </row>
    <row r="181" spans="1:9" x14ac:dyDescent="0.3">
      <c r="A181">
        <v>2029</v>
      </c>
      <c r="B181">
        <v>7</v>
      </c>
      <c r="C181">
        <v>31</v>
      </c>
      <c r="D181">
        <v>2029.5809999999999</v>
      </c>
      <c r="E181">
        <v>58.139804482422598</v>
      </c>
      <c r="F181">
        <v>13.4631509341254</v>
      </c>
      <c r="G181">
        <v>0</v>
      </c>
      <c r="H181">
        <v>0</v>
      </c>
      <c r="I181" s="72">
        <f t="shared" si="5"/>
        <v>71.602955416547999</v>
      </c>
    </row>
    <row r="182" spans="1:9" x14ac:dyDescent="0.3">
      <c r="A182">
        <v>2029</v>
      </c>
      <c r="B182">
        <v>8</v>
      </c>
      <c r="C182">
        <v>31</v>
      </c>
      <c r="D182">
        <v>2029.6659999999999</v>
      </c>
      <c r="E182">
        <v>58.247942401613301</v>
      </c>
      <c r="F182">
        <v>13.5816018302115</v>
      </c>
      <c r="G182">
        <v>0</v>
      </c>
      <c r="H182">
        <v>0</v>
      </c>
      <c r="I182" s="72">
        <f t="shared" si="5"/>
        <v>71.829544231824798</v>
      </c>
    </row>
    <row r="183" spans="1:9" x14ac:dyDescent="0.3">
      <c r="A183">
        <v>2029</v>
      </c>
      <c r="B183">
        <v>9</v>
      </c>
      <c r="C183">
        <v>30</v>
      </c>
      <c r="D183">
        <v>2029.748</v>
      </c>
      <c r="E183">
        <v>58.352183707252102</v>
      </c>
      <c r="F183">
        <v>13.6738119730671</v>
      </c>
      <c r="G183">
        <v>0</v>
      </c>
      <c r="H183">
        <v>0</v>
      </c>
      <c r="I183" s="72">
        <f t="shared" si="5"/>
        <v>72.025995680319198</v>
      </c>
    </row>
    <row r="184" spans="1:9" x14ac:dyDescent="0.3">
      <c r="A184">
        <v>2029</v>
      </c>
      <c r="B184">
        <v>10</v>
      </c>
      <c r="C184">
        <v>31</v>
      </c>
      <c r="D184">
        <v>2029.8330000000001</v>
      </c>
      <c r="E184">
        <v>58.459480107480502</v>
      </c>
      <c r="F184">
        <v>13.686727851667801</v>
      </c>
      <c r="G184">
        <v>0</v>
      </c>
      <c r="H184">
        <v>0</v>
      </c>
      <c r="I184" s="72">
        <f t="shared" si="5"/>
        <v>72.146207959148299</v>
      </c>
    </row>
    <row r="185" spans="1:9" x14ac:dyDescent="0.3">
      <c r="A185">
        <v>2029</v>
      </c>
      <c r="B185">
        <v>11</v>
      </c>
      <c r="C185">
        <v>30</v>
      </c>
      <c r="D185">
        <v>2029.915</v>
      </c>
      <c r="E185">
        <v>58.562865079482599</v>
      </c>
      <c r="F185">
        <v>13.6824722620396</v>
      </c>
      <c r="G185">
        <v>0</v>
      </c>
      <c r="H185">
        <v>0</v>
      </c>
      <c r="I185" s="72">
        <f t="shared" si="5"/>
        <v>72.245337341522202</v>
      </c>
    </row>
    <row r="186" spans="1:9" x14ac:dyDescent="0.3">
      <c r="A186">
        <v>2029</v>
      </c>
      <c r="B186">
        <v>12</v>
      </c>
      <c r="C186">
        <v>31</v>
      </c>
      <c r="D186">
        <v>2030</v>
      </c>
      <c r="E186">
        <v>58.669279647810001</v>
      </c>
      <c r="F186">
        <v>13.6729446963923</v>
      </c>
      <c r="G186">
        <v>0</v>
      </c>
      <c r="H186">
        <v>0</v>
      </c>
      <c r="I186" s="72">
        <f t="shared" si="5"/>
        <v>72.342224344202293</v>
      </c>
    </row>
    <row r="187" spans="1:9" x14ac:dyDescent="0.3">
      <c r="A187">
        <v>2030</v>
      </c>
      <c r="B187">
        <v>1</v>
      </c>
      <c r="C187">
        <v>31</v>
      </c>
      <c r="D187">
        <v>2030.085</v>
      </c>
      <c r="E187">
        <v>58.775274780813</v>
      </c>
      <c r="F187">
        <v>13.664118894627199</v>
      </c>
      <c r="G187">
        <v>0</v>
      </c>
      <c r="H187">
        <v>0</v>
      </c>
      <c r="I187" s="72">
        <f t="shared" si="5"/>
        <v>72.439393675440201</v>
      </c>
    </row>
    <row r="188" spans="1:9" x14ac:dyDescent="0.3">
      <c r="A188">
        <v>2030</v>
      </c>
      <c r="B188">
        <v>2</v>
      </c>
      <c r="C188">
        <v>28</v>
      </c>
      <c r="D188">
        <v>2030.162</v>
      </c>
      <c r="E188">
        <v>58.870653713127197</v>
      </c>
      <c r="F188">
        <v>13.659741491526001</v>
      </c>
      <c r="G188">
        <v>0</v>
      </c>
      <c r="H188">
        <v>0</v>
      </c>
      <c r="I188" s="72">
        <f t="shared" si="5"/>
        <v>72.530395204653203</v>
      </c>
    </row>
    <row r="189" spans="1:9" x14ac:dyDescent="0.3">
      <c r="A189">
        <v>2030</v>
      </c>
      <c r="B189">
        <v>3</v>
      </c>
      <c r="C189">
        <v>31</v>
      </c>
      <c r="D189">
        <v>2030.2470000000001</v>
      </c>
      <c r="E189">
        <v>58.975856885101898</v>
      </c>
      <c r="F189">
        <v>13.6687531079838</v>
      </c>
      <c r="G189">
        <v>0</v>
      </c>
      <c r="H189">
        <v>0</v>
      </c>
      <c r="I189" s="72">
        <f t="shared" si="5"/>
        <v>72.644609993085695</v>
      </c>
    </row>
    <row r="190" spans="1:9" x14ac:dyDescent="0.3">
      <c r="A190">
        <v>2030</v>
      </c>
      <c r="B190">
        <v>4</v>
      </c>
      <c r="C190">
        <v>30</v>
      </c>
      <c r="D190">
        <v>2030.329</v>
      </c>
      <c r="E190">
        <v>59.077273321641897</v>
      </c>
      <c r="F190">
        <v>13.6947112846659</v>
      </c>
      <c r="G190">
        <v>0</v>
      </c>
      <c r="H190">
        <v>0</v>
      </c>
      <c r="I190" s="72">
        <f t="shared" si="5"/>
        <v>72.771984606307797</v>
      </c>
    </row>
    <row r="191" spans="1:9" x14ac:dyDescent="0.3">
      <c r="A191">
        <v>2030</v>
      </c>
      <c r="B191">
        <v>5</v>
      </c>
      <c r="C191">
        <v>31</v>
      </c>
      <c r="D191">
        <v>2030.414</v>
      </c>
      <c r="E191">
        <v>59.1816663085228</v>
      </c>
      <c r="F191">
        <v>13.7272938273167</v>
      </c>
      <c r="G191">
        <v>0</v>
      </c>
      <c r="H191">
        <v>0</v>
      </c>
      <c r="I191" s="72">
        <f t="shared" si="5"/>
        <v>72.908960135839493</v>
      </c>
    </row>
    <row r="192" spans="1:9" x14ac:dyDescent="0.3">
      <c r="A192">
        <v>2030</v>
      </c>
      <c r="B192">
        <v>6</v>
      </c>
      <c r="C192">
        <v>30</v>
      </c>
      <c r="D192">
        <v>2030.4960000000001</v>
      </c>
      <c r="E192">
        <v>59.282302897619402</v>
      </c>
      <c r="F192">
        <v>13.807701757358201</v>
      </c>
      <c r="G192">
        <v>0</v>
      </c>
      <c r="H192">
        <v>0</v>
      </c>
      <c r="I192" s="106">
        <f t="shared" si="5"/>
        <v>73.090004654977605</v>
      </c>
    </row>
    <row r="193" spans="1:9" x14ac:dyDescent="0.3">
      <c r="A193">
        <v>2030</v>
      </c>
      <c r="B193">
        <v>7</v>
      </c>
      <c r="C193">
        <v>31</v>
      </c>
      <c r="D193">
        <v>2030.5809999999999</v>
      </c>
      <c r="E193">
        <v>59.385894357711202</v>
      </c>
      <c r="F193">
        <v>13.9052052570865</v>
      </c>
      <c r="G193">
        <v>0</v>
      </c>
      <c r="H193">
        <v>0</v>
      </c>
      <c r="I193" s="72">
        <f t="shared" si="5"/>
        <v>73.291099614797702</v>
      </c>
    </row>
    <row r="194" spans="1:9" x14ac:dyDescent="0.3">
      <c r="A194">
        <v>2030</v>
      </c>
      <c r="B194">
        <v>8</v>
      </c>
      <c r="C194">
        <v>31</v>
      </c>
      <c r="D194">
        <v>2030.6659999999999</v>
      </c>
      <c r="E194">
        <v>59.489081768155998</v>
      </c>
      <c r="F194">
        <v>14.021748949113199</v>
      </c>
      <c r="G194">
        <v>0</v>
      </c>
      <c r="H194">
        <v>0</v>
      </c>
      <c r="I194" s="72">
        <f t="shared" si="5"/>
        <v>73.510830717269201</v>
      </c>
    </row>
    <row r="195" spans="1:9" x14ac:dyDescent="0.3">
      <c r="A195">
        <v>2030</v>
      </c>
      <c r="B195">
        <v>9</v>
      </c>
      <c r="C195">
        <v>30</v>
      </c>
      <c r="D195">
        <v>2030.748</v>
      </c>
      <c r="E195">
        <v>59.588557910338302</v>
      </c>
      <c r="F195">
        <v>14.1116527855754</v>
      </c>
      <c r="G195">
        <v>0</v>
      </c>
      <c r="H195">
        <v>0</v>
      </c>
      <c r="I195" s="72">
        <f t="shared" si="5"/>
        <v>73.700210695913697</v>
      </c>
    </row>
    <row r="196" spans="1:9" x14ac:dyDescent="0.3">
      <c r="A196">
        <v>2030</v>
      </c>
      <c r="B196">
        <v>10</v>
      </c>
      <c r="C196">
        <v>31</v>
      </c>
      <c r="D196">
        <v>2030.8330000000001</v>
      </c>
      <c r="E196">
        <v>59.690956649499299</v>
      </c>
      <c r="F196">
        <v>14.1200692420785</v>
      </c>
      <c r="G196">
        <v>0</v>
      </c>
      <c r="H196">
        <v>0</v>
      </c>
      <c r="I196" s="72">
        <f t="shared" si="5"/>
        <v>73.811025891577799</v>
      </c>
    </row>
    <row r="197" spans="1:9" x14ac:dyDescent="0.3">
      <c r="A197">
        <v>2030</v>
      </c>
      <c r="B197">
        <v>11</v>
      </c>
      <c r="C197">
        <v>30</v>
      </c>
      <c r="D197">
        <v>2030.915</v>
      </c>
      <c r="E197">
        <v>59.789632410265902</v>
      </c>
      <c r="F197">
        <v>14.1111025592788</v>
      </c>
      <c r="G197">
        <v>0</v>
      </c>
      <c r="H197">
        <v>0</v>
      </c>
      <c r="I197" s="72">
        <f t="shared" si="5"/>
        <v>73.9007349695447</v>
      </c>
    </row>
    <row r="198" spans="1:9" x14ac:dyDescent="0.3">
      <c r="A198">
        <v>2030</v>
      </c>
      <c r="B198">
        <v>12</v>
      </c>
      <c r="C198">
        <v>31</v>
      </c>
      <c r="D198">
        <v>2031</v>
      </c>
      <c r="E198">
        <v>59.891206967326397</v>
      </c>
      <c r="F198">
        <v>14.0966539878033</v>
      </c>
      <c r="G198">
        <v>0</v>
      </c>
      <c r="H198">
        <v>0</v>
      </c>
      <c r="I198" s="72">
        <f t="shared" si="5"/>
        <v>73.98786095512969</v>
      </c>
    </row>
    <row r="199" spans="1:9" x14ac:dyDescent="0.3">
      <c r="A199">
        <v>2031</v>
      </c>
      <c r="B199">
        <v>1</v>
      </c>
      <c r="C199">
        <v>31</v>
      </c>
      <c r="D199">
        <v>2031.085</v>
      </c>
      <c r="E199">
        <v>59.992388340555301</v>
      </c>
      <c r="F199">
        <v>14.083001987019699</v>
      </c>
      <c r="G199">
        <v>0</v>
      </c>
      <c r="H199">
        <v>0</v>
      </c>
      <c r="I199" s="72">
        <f t="shared" si="5"/>
        <v>74.075390327575008</v>
      </c>
    </row>
    <row r="200" spans="1:9" x14ac:dyDescent="0.3">
      <c r="A200">
        <v>2031</v>
      </c>
      <c r="B200">
        <v>2</v>
      </c>
      <c r="C200">
        <v>28</v>
      </c>
      <c r="D200">
        <v>2031.162</v>
      </c>
      <c r="E200">
        <v>60.083441786394502</v>
      </c>
      <c r="F200">
        <v>14.0744140139725</v>
      </c>
      <c r="G200">
        <v>0</v>
      </c>
      <c r="H200">
        <v>0</v>
      </c>
      <c r="I200" s="72">
        <f t="shared" si="5"/>
        <v>74.157855800367003</v>
      </c>
    </row>
    <row r="201" spans="1:9" x14ac:dyDescent="0.3">
      <c r="A201">
        <v>2031</v>
      </c>
      <c r="B201">
        <v>3</v>
      </c>
      <c r="C201">
        <v>31</v>
      </c>
      <c r="D201">
        <v>2031.2470000000001</v>
      </c>
      <c r="E201">
        <v>60.1838807031355</v>
      </c>
      <c r="F201">
        <v>14.0791637632431</v>
      </c>
      <c r="G201">
        <v>0</v>
      </c>
      <c r="H201">
        <v>0</v>
      </c>
      <c r="I201" s="72">
        <f t="shared" si="5"/>
        <v>74.263044466378602</v>
      </c>
    </row>
    <row r="202" spans="1:9" x14ac:dyDescent="0.3">
      <c r="A202">
        <v>2031</v>
      </c>
      <c r="B202">
        <v>4</v>
      </c>
      <c r="C202">
        <v>30</v>
      </c>
      <c r="D202">
        <v>2031.329</v>
      </c>
      <c r="E202">
        <v>60.280711110142398</v>
      </c>
      <c r="F202">
        <v>14.101485117328499</v>
      </c>
      <c r="G202">
        <v>0</v>
      </c>
      <c r="H202">
        <v>0</v>
      </c>
      <c r="I202" s="72">
        <f t="shared" si="5"/>
        <v>74.382196227470899</v>
      </c>
    </row>
    <row r="203" spans="1:9" x14ac:dyDescent="0.3">
      <c r="A203">
        <v>2031</v>
      </c>
      <c r="B203">
        <v>5</v>
      </c>
      <c r="C203">
        <v>31</v>
      </c>
      <c r="D203">
        <v>2031.414</v>
      </c>
      <c r="E203">
        <v>60.380390398906698</v>
      </c>
      <c r="F203">
        <v>14.130468134281999</v>
      </c>
      <c r="G203">
        <v>0</v>
      </c>
      <c r="H203">
        <v>0</v>
      </c>
      <c r="I203" s="72">
        <f t="shared" ref="I203:I266" si="6">E203+F203</f>
        <v>74.510858533188696</v>
      </c>
    </row>
    <row r="204" spans="1:9" x14ac:dyDescent="0.3">
      <c r="A204">
        <v>2031</v>
      </c>
      <c r="B204">
        <v>6</v>
      </c>
      <c r="C204">
        <v>30</v>
      </c>
      <c r="D204">
        <v>2031.4960000000001</v>
      </c>
      <c r="E204">
        <v>60.476489579540001</v>
      </c>
      <c r="F204">
        <v>14.2086094139583</v>
      </c>
      <c r="G204">
        <v>0</v>
      </c>
      <c r="H204">
        <v>0</v>
      </c>
      <c r="I204" s="106">
        <f t="shared" si="6"/>
        <v>74.685098993498301</v>
      </c>
    </row>
    <row r="205" spans="1:9" x14ac:dyDescent="0.3">
      <c r="A205">
        <v>2031</v>
      </c>
      <c r="B205">
        <v>7</v>
      </c>
      <c r="C205">
        <v>31</v>
      </c>
      <c r="D205">
        <v>2031.5809999999999</v>
      </c>
      <c r="E205">
        <v>60.575417269743902</v>
      </c>
      <c r="F205">
        <v>14.304134359133201</v>
      </c>
      <c r="G205">
        <v>0</v>
      </c>
      <c r="H205">
        <v>0</v>
      </c>
      <c r="I205" s="72">
        <f t="shared" si="6"/>
        <v>74.879551628877095</v>
      </c>
    </row>
    <row r="206" spans="1:9" x14ac:dyDescent="0.3">
      <c r="A206">
        <v>2031</v>
      </c>
      <c r="B206">
        <v>8</v>
      </c>
      <c r="C206">
        <v>31</v>
      </c>
      <c r="D206">
        <v>2031.6659999999999</v>
      </c>
      <c r="E206">
        <v>60.673966044951797</v>
      </c>
      <c r="F206">
        <v>14.419206788151801</v>
      </c>
      <c r="G206">
        <v>0</v>
      </c>
      <c r="H206">
        <v>0</v>
      </c>
      <c r="I206" s="72">
        <f t="shared" si="6"/>
        <v>75.093172833103594</v>
      </c>
    </row>
    <row r="207" spans="1:9" x14ac:dyDescent="0.3">
      <c r="A207">
        <v>2031</v>
      </c>
      <c r="B207">
        <v>9</v>
      </c>
      <c r="C207">
        <v>30</v>
      </c>
      <c r="D207">
        <v>2031.748</v>
      </c>
      <c r="E207">
        <v>60.768976966471001</v>
      </c>
      <c r="F207">
        <v>14.507270200693</v>
      </c>
      <c r="G207">
        <v>0</v>
      </c>
      <c r="H207">
        <v>0</v>
      </c>
      <c r="I207" s="72">
        <f t="shared" si="6"/>
        <v>75.276247167164001</v>
      </c>
    </row>
    <row r="208" spans="1:9" x14ac:dyDescent="0.3">
      <c r="A208">
        <v>2031</v>
      </c>
      <c r="B208">
        <v>10</v>
      </c>
      <c r="C208">
        <v>31</v>
      </c>
      <c r="D208">
        <v>2031.8330000000001</v>
      </c>
      <c r="E208">
        <v>60.866786063707202</v>
      </c>
      <c r="F208">
        <v>14.5118933872052</v>
      </c>
      <c r="G208">
        <v>0</v>
      </c>
      <c r="H208">
        <v>0</v>
      </c>
      <c r="I208" s="72">
        <f t="shared" si="6"/>
        <v>75.378679450912401</v>
      </c>
    </row>
    <row r="209" spans="1:9" x14ac:dyDescent="0.3">
      <c r="A209">
        <v>2031</v>
      </c>
      <c r="B209">
        <v>11</v>
      </c>
      <c r="C209">
        <v>30</v>
      </c>
      <c r="D209">
        <v>2031.915</v>
      </c>
      <c r="E209">
        <v>60.961049431006899</v>
      </c>
      <c r="F209">
        <v>14.4989295352546</v>
      </c>
      <c r="G209">
        <v>0</v>
      </c>
      <c r="H209">
        <v>0</v>
      </c>
      <c r="I209" s="72">
        <f t="shared" si="6"/>
        <v>75.459978966261502</v>
      </c>
    </row>
    <row r="210" spans="1:9" x14ac:dyDescent="0.3">
      <c r="A210">
        <v>2031</v>
      </c>
      <c r="B210">
        <v>12</v>
      </c>
      <c r="C210">
        <v>31</v>
      </c>
      <c r="D210">
        <v>2032</v>
      </c>
      <c r="E210">
        <v>61.058087454500601</v>
      </c>
      <c r="F210">
        <v>14.480294737864201</v>
      </c>
      <c r="G210">
        <v>0</v>
      </c>
      <c r="H210">
        <v>0</v>
      </c>
      <c r="I210" s="72">
        <f t="shared" si="6"/>
        <v>75.538382192364807</v>
      </c>
    </row>
    <row r="211" spans="1:9" x14ac:dyDescent="0.3">
      <c r="A211">
        <v>2032</v>
      </c>
      <c r="B211">
        <v>1</v>
      </c>
      <c r="C211">
        <v>31</v>
      </c>
      <c r="D211">
        <v>2032.085</v>
      </c>
      <c r="E211">
        <v>61.154756629117699</v>
      </c>
      <c r="F211">
        <v>14.4625325629495</v>
      </c>
      <c r="G211">
        <v>0</v>
      </c>
      <c r="H211">
        <v>0</v>
      </c>
      <c r="I211" s="72">
        <f t="shared" si="6"/>
        <v>75.617289192067204</v>
      </c>
    </row>
    <row r="212" spans="1:9" x14ac:dyDescent="0.3">
      <c r="A212">
        <v>2032</v>
      </c>
      <c r="B212">
        <v>2</v>
      </c>
      <c r="C212">
        <v>29</v>
      </c>
      <c r="D212">
        <v>2032.164</v>
      </c>
      <c r="E212">
        <v>61.244856907236802</v>
      </c>
      <c r="F212">
        <v>14.4503085595258</v>
      </c>
      <c r="G212">
        <v>0</v>
      </c>
      <c r="H212">
        <v>0</v>
      </c>
      <c r="I212" s="72">
        <f t="shared" si="6"/>
        <v>75.695165466762603</v>
      </c>
    </row>
    <row r="213" spans="1:9" x14ac:dyDescent="0.3">
      <c r="A213">
        <v>2032</v>
      </c>
      <c r="B213">
        <v>3</v>
      </c>
      <c r="C213">
        <v>31</v>
      </c>
      <c r="D213">
        <v>2032.249</v>
      </c>
      <c r="E213">
        <v>61.340817768022603</v>
      </c>
      <c r="F213">
        <v>14.452134926187099</v>
      </c>
      <c r="G213">
        <v>0</v>
      </c>
      <c r="H213">
        <v>0</v>
      </c>
      <c r="I213" s="72">
        <f t="shared" si="6"/>
        <v>75.792952694209703</v>
      </c>
    </row>
    <row r="214" spans="1:9" x14ac:dyDescent="0.3">
      <c r="A214">
        <v>2032</v>
      </c>
      <c r="B214">
        <v>4</v>
      </c>
      <c r="C214">
        <v>30</v>
      </c>
      <c r="D214">
        <v>2032.3309999999999</v>
      </c>
      <c r="E214">
        <v>61.4333373782002</v>
      </c>
      <c r="F214">
        <v>14.471332684238</v>
      </c>
      <c r="G214">
        <v>0</v>
      </c>
      <c r="H214">
        <v>0</v>
      </c>
      <c r="I214" s="72">
        <f t="shared" si="6"/>
        <v>75.9046700624382</v>
      </c>
    </row>
    <row r="215" spans="1:9" x14ac:dyDescent="0.3">
      <c r="A215">
        <v>2032</v>
      </c>
      <c r="B215">
        <v>5</v>
      </c>
      <c r="C215">
        <v>31</v>
      </c>
      <c r="D215">
        <v>2032.415</v>
      </c>
      <c r="E215">
        <v>61.528585594342303</v>
      </c>
      <c r="F215">
        <v>14.499214603418601</v>
      </c>
      <c r="G215">
        <v>0</v>
      </c>
      <c r="H215">
        <v>0</v>
      </c>
      <c r="I215" s="72">
        <f t="shared" si="6"/>
        <v>76.027800197760911</v>
      </c>
    </row>
    <row r="216" spans="1:9" x14ac:dyDescent="0.3">
      <c r="A216">
        <v>2032</v>
      </c>
      <c r="B216">
        <v>6</v>
      </c>
      <c r="C216">
        <v>30</v>
      </c>
      <c r="D216">
        <v>2032.4970000000001</v>
      </c>
      <c r="E216">
        <v>61.6204191609622</v>
      </c>
      <c r="F216">
        <v>14.575910411080599</v>
      </c>
      <c r="G216">
        <v>0</v>
      </c>
      <c r="H216">
        <v>0</v>
      </c>
      <c r="I216" s="106">
        <f t="shared" si="6"/>
        <v>76.196329572042799</v>
      </c>
    </row>
    <row r="217" spans="1:9" x14ac:dyDescent="0.3">
      <c r="A217">
        <v>2032</v>
      </c>
      <c r="B217">
        <v>7</v>
      </c>
      <c r="C217">
        <v>31</v>
      </c>
      <c r="D217">
        <v>2032.5820000000001</v>
      </c>
      <c r="E217">
        <v>61.714962174828102</v>
      </c>
      <c r="F217">
        <v>14.6706807970046</v>
      </c>
      <c r="G217">
        <v>0</v>
      </c>
      <c r="H217">
        <v>0</v>
      </c>
      <c r="I217" s="72">
        <f t="shared" si="6"/>
        <v>76.385642971832709</v>
      </c>
    </row>
    <row r="218" spans="1:9" x14ac:dyDescent="0.3">
      <c r="A218">
        <v>2032</v>
      </c>
      <c r="B218">
        <v>8</v>
      </c>
      <c r="C218">
        <v>31</v>
      </c>
      <c r="D218">
        <v>2032.6669999999999</v>
      </c>
      <c r="E218">
        <v>61.809149629451703</v>
      </c>
      <c r="F218">
        <v>14.7841923557135</v>
      </c>
      <c r="G218">
        <v>0</v>
      </c>
      <c r="H218">
        <v>0</v>
      </c>
      <c r="I218" s="72">
        <f t="shared" si="6"/>
        <v>76.59334198516521</v>
      </c>
    </row>
    <row r="219" spans="1:9" x14ac:dyDescent="0.3">
      <c r="A219">
        <v>2032</v>
      </c>
      <c r="B219">
        <v>9</v>
      </c>
      <c r="C219">
        <v>30</v>
      </c>
      <c r="D219">
        <v>2032.749</v>
      </c>
      <c r="E219">
        <v>61.899962015742403</v>
      </c>
      <c r="F219">
        <v>14.8675213019969</v>
      </c>
      <c r="G219">
        <v>0</v>
      </c>
      <c r="H219">
        <v>0</v>
      </c>
      <c r="I219" s="72">
        <f t="shared" si="6"/>
        <v>76.767483317739305</v>
      </c>
    </row>
    <row r="220" spans="1:9" x14ac:dyDescent="0.3">
      <c r="A220">
        <v>2032</v>
      </c>
      <c r="B220">
        <v>10</v>
      </c>
      <c r="C220">
        <v>31</v>
      </c>
      <c r="D220">
        <v>2032.8330000000001</v>
      </c>
      <c r="E220">
        <v>61.993455316791497</v>
      </c>
      <c r="F220">
        <v>14.868226475211999</v>
      </c>
      <c r="G220">
        <v>0</v>
      </c>
      <c r="H220">
        <v>0</v>
      </c>
      <c r="I220" s="72">
        <f t="shared" si="6"/>
        <v>76.861681792003495</v>
      </c>
    </row>
    <row r="221" spans="1:9" x14ac:dyDescent="0.3">
      <c r="A221">
        <v>2032</v>
      </c>
      <c r="B221">
        <v>11</v>
      </c>
      <c r="C221">
        <v>30</v>
      </c>
      <c r="D221">
        <v>2032.915</v>
      </c>
      <c r="E221">
        <v>62.0835665227345</v>
      </c>
      <c r="F221">
        <v>14.8516142191706</v>
      </c>
      <c r="G221">
        <v>0</v>
      </c>
      <c r="H221">
        <v>0</v>
      </c>
      <c r="I221" s="72">
        <f t="shared" si="6"/>
        <v>76.9351807419051</v>
      </c>
    </row>
    <row r="222" spans="1:9" x14ac:dyDescent="0.3">
      <c r="A222">
        <v>2032</v>
      </c>
      <c r="B222">
        <v>12</v>
      </c>
      <c r="C222">
        <v>31</v>
      </c>
      <c r="D222">
        <v>2033</v>
      </c>
      <c r="E222">
        <v>62.176337819098201</v>
      </c>
      <c r="F222">
        <v>14.829377125399301</v>
      </c>
      <c r="G222">
        <v>0</v>
      </c>
      <c r="H222">
        <v>0</v>
      </c>
      <c r="I222" s="72">
        <f t="shared" si="6"/>
        <v>77.005714944497498</v>
      </c>
    </row>
    <row r="223" spans="1:9" x14ac:dyDescent="0.3">
      <c r="A223">
        <v>2033</v>
      </c>
      <c r="B223">
        <v>1</v>
      </c>
      <c r="C223">
        <v>31</v>
      </c>
      <c r="D223">
        <v>2033.085</v>
      </c>
      <c r="E223">
        <v>62.268762878756</v>
      </c>
      <c r="F223">
        <v>14.8081782114186</v>
      </c>
      <c r="G223">
        <v>0</v>
      </c>
      <c r="H223">
        <v>0</v>
      </c>
      <c r="I223" s="72">
        <f t="shared" si="6"/>
        <v>77.0769410901746</v>
      </c>
    </row>
    <row r="224" spans="1:9" x14ac:dyDescent="0.3">
      <c r="A224">
        <v>2033</v>
      </c>
      <c r="B224">
        <v>2</v>
      </c>
      <c r="C224">
        <v>28</v>
      </c>
      <c r="D224">
        <v>2033.162</v>
      </c>
      <c r="E224">
        <v>62.351947499523497</v>
      </c>
      <c r="F224">
        <v>14.7933555483856</v>
      </c>
      <c r="G224">
        <v>0</v>
      </c>
      <c r="H224">
        <v>0</v>
      </c>
      <c r="I224" s="72">
        <f t="shared" si="6"/>
        <v>77.145303047909096</v>
      </c>
    </row>
    <row r="225" spans="1:9" x14ac:dyDescent="0.3">
      <c r="A225">
        <v>2033</v>
      </c>
      <c r="B225">
        <v>3</v>
      </c>
      <c r="C225">
        <v>31</v>
      </c>
      <c r="D225">
        <v>2033.2470000000001</v>
      </c>
      <c r="E225">
        <v>62.443718629171897</v>
      </c>
      <c r="F225">
        <v>14.792074239098699</v>
      </c>
      <c r="G225">
        <v>0</v>
      </c>
      <c r="H225">
        <v>0</v>
      </c>
      <c r="I225" s="72">
        <f t="shared" si="6"/>
        <v>77.235792868270593</v>
      </c>
    </row>
    <row r="226" spans="1:9" x14ac:dyDescent="0.3">
      <c r="A226">
        <v>2033</v>
      </c>
      <c r="B226">
        <v>4</v>
      </c>
      <c r="C226">
        <v>30</v>
      </c>
      <c r="D226">
        <v>2033.329</v>
      </c>
      <c r="E226">
        <v>62.532204736438999</v>
      </c>
      <c r="F226">
        <v>14.8086347872999</v>
      </c>
      <c r="G226">
        <v>0</v>
      </c>
      <c r="H226">
        <v>0</v>
      </c>
      <c r="I226" s="72">
        <f t="shared" si="6"/>
        <v>77.340839523738893</v>
      </c>
    </row>
    <row r="227" spans="1:9" x14ac:dyDescent="0.3">
      <c r="A227">
        <v>2033</v>
      </c>
      <c r="B227">
        <v>5</v>
      </c>
      <c r="C227">
        <v>31</v>
      </c>
      <c r="D227">
        <v>2033.414</v>
      </c>
      <c r="E227">
        <v>62.623306640376001</v>
      </c>
      <c r="F227">
        <v>14.833945022828701</v>
      </c>
      <c r="G227">
        <v>0</v>
      </c>
      <c r="H227">
        <v>0</v>
      </c>
      <c r="I227" s="72">
        <f t="shared" si="6"/>
        <v>77.457251663204701</v>
      </c>
    </row>
    <row r="228" spans="1:9" x14ac:dyDescent="0.3">
      <c r="A228">
        <v>2033</v>
      </c>
      <c r="B228">
        <v>6</v>
      </c>
      <c r="C228">
        <v>30</v>
      </c>
      <c r="D228">
        <v>2033.4960000000001</v>
      </c>
      <c r="E228">
        <v>62.711148458890399</v>
      </c>
      <c r="F228">
        <v>14.909105877534</v>
      </c>
      <c r="G228">
        <v>0</v>
      </c>
      <c r="H228">
        <v>0</v>
      </c>
      <c r="I228" s="106">
        <f t="shared" si="6"/>
        <v>77.620254336424395</v>
      </c>
    </row>
    <row r="229" spans="1:9" x14ac:dyDescent="0.3">
      <c r="A229">
        <v>2033</v>
      </c>
      <c r="B229">
        <v>7</v>
      </c>
      <c r="C229">
        <v>31</v>
      </c>
      <c r="D229">
        <v>2033.5809999999999</v>
      </c>
      <c r="E229">
        <v>62.801588036622903</v>
      </c>
      <c r="F229">
        <v>15.0025845923336</v>
      </c>
      <c r="G229">
        <v>0</v>
      </c>
      <c r="H229">
        <v>0</v>
      </c>
      <c r="I229" s="72">
        <f t="shared" si="6"/>
        <v>77.804172628956508</v>
      </c>
    </row>
    <row r="230" spans="1:9" x14ac:dyDescent="0.3">
      <c r="A230">
        <v>2033</v>
      </c>
      <c r="B230">
        <v>8</v>
      </c>
      <c r="C230">
        <v>31</v>
      </c>
      <c r="D230">
        <v>2033.6659999999999</v>
      </c>
      <c r="E230">
        <v>62.891693638764103</v>
      </c>
      <c r="F230">
        <v>15.115188515700201</v>
      </c>
      <c r="G230">
        <v>0</v>
      </c>
      <c r="H230">
        <v>0</v>
      </c>
      <c r="I230" s="72">
        <f t="shared" si="6"/>
        <v>78.006882154464307</v>
      </c>
    </row>
    <row r="231" spans="1:9" x14ac:dyDescent="0.3">
      <c r="A231">
        <v>2033</v>
      </c>
      <c r="B231">
        <v>9</v>
      </c>
      <c r="C231">
        <v>30</v>
      </c>
      <c r="D231">
        <v>2033.748</v>
      </c>
      <c r="E231">
        <v>62.978576266209799</v>
      </c>
      <c r="F231">
        <v>15.1972393536923</v>
      </c>
      <c r="G231">
        <v>0</v>
      </c>
      <c r="H231">
        <v>0</v>
      </c>
      <c r="I231" s="72">
        <f t="shared" si="6"/>
        <v>78.175815619902096</v>
      </c>
    </row>
    <row r="232" spans="1:9" x14ac:dyDescent="0.3">
      <c r="A232">
        <v>2033</v>
      </c>
      <c r="B232">
        <v>10</v>
      </c>
      <c r="C232">
        <v>31</v>
      </c>
      <c r="D232">
        <v>2033.8330000000001</v>
      </c>
      <c r="E232">
        <v>63.068029785143601</v>
      </c>
      <c r="F232">
        <v>15.195112774730701</v>
      </c>
      <c r="G232">
        <v>0</v>
      </c>
      <c r="H232">
        <v>0</v>
      </c>
      <c r="I232" s="72">
        <f t="shared" si="6"/>
        <v>78.263142559874296</v>
      </c>
    </row>
    <row r="233" spans="1:9" x14ac:dyDescent="0.3">
      <c r="A233">
        <v>2033</v>
      </c>
      <c r="B233">
        <v>11</v>
      </c>
      <c r="C233">
        <v>30</v>
      </c>
      <c r="D233">
        <v>2033.915</v>
      </c>
      <c r="E233">
        <v>63.154255059419803</v>
      </c>
      <c r="F233">
        <v>15.1754904298294</v>
      </c>
      <c r="G233">
        <v>0</v>
      </c>
      <c r="H233">
        <v>0</v>
      </c>
      <c r="I233" s="72">
        <f t="shared" si="6"/>
        <v>78.329745489249206</v>
      </c>
    </row>
    <row r="234" spans="1:9" x14ac:dyDescent="0.3">
      <c r="A234">
        <v>2033</v>
      </c>
      <c r="B234">
        <v>12</v>
      </c>
      <c r="C234">
        <v>31</v>
      </c>
      <c r="D234">
        <v>2034</v>
      </c>
      <c r="E234">
        <v>63.243031704739202</v>
      </c>
      <c r="F234">
        <v>15.150090858404701</v>
      </c>
      <c r="G234">
        <v>0</v>
      </c>
      <c r="H234">
        <v>0</v>
      </c>
      <c r="I234" s="72">
        <f t="shared" si="6"/>
        <v>78.393122563143905</v>
      </c>
    </row>
    <row r="235" spans="1:9" x14ac:dyDescent="0.3">
      <c r="A235">
        <v>2034</v>
      </c>
      <c r="B235">
        <v>1</v>
      </c>
      <c r="C235">
        <v>31</v>
      </c>
      <c r="D235">
        <v>2034.085</v>
      </c>
      <c r="E235">
        <v>63.331483011466197</v>
      </c>
      <c r="F235">
        <v>15.125783749047001</v>
      </c>
      <c r="G235">
        <v>0</v>
      </c>
      <c r="H235">
        <v>0</v>
      </c>
      <c r="I235" s="72">
        <f t="shared" si="6"/>
        <v>78.457266760513193</v>
      </c>
    </row>
    <row r="236" spans="1:9" x14ac:dyDescent="0.3">
      <c r="A236">
        <v>2034</v>
      </c>
      <c r="B236">
        <v>2</v>
      </c>
      <c r="C236">
        <v>28</v>
      </c>
      <c r="D236">
        <v>2034.162</v>
      </c>
      <c r="E236">
        <v>63.411096287740897</v>
      </c>
      <c r="F236">
        <v>15.1082546622245</v>
      </c>
      <c r="G236">
        <v>0</v>
      </c>
      <c r="H236">
        <v>0</v>
      </c>
      <c r="I236" s="72">
        <f t="shared" si="6"/>
        <v>78.5193509499654</v>
      </c>
    </row>
    <row r="237" spans="1:9" x14ac:dyDescent="0.3">
      <c r="A237">
        <v>2034</v>
      </c>
      <c r="B237">
        <v>3</v>
      </c>
      <c r="C237">
        <v>31</v>
      </c>
      <c r="D237">
        <v>2034.2470000000001</v>
      </c>
      <c r="E237">
        <v>63.498933071490598</v>
      </c>
      <c r="F237">
        <v>15.1042604858164</v>
      </c>
      <c r="G237">
        <v>0</v>
      </c>
      <c r="H237">
        <v>0</v>
      </c>
      <c r="I237" s="72">
        <f t="shared" si="6"/>
        <v>78.603193557306994</v>
      </c>
    </row>
    <row r="238" spans="1:9" x14ac:dyDescent="0.3">
      <c r="A238">
        <v>2034</v>
      </c>
      <c r="B238">
        <v>4</v>
      </c>
      <c r="C238">
        <v>30</v>
      </c>
      <c r="D238">
        <v>2034.329</v>
      </c>
      <c r="E238">
        <v>63.583631280950101</v>
      </c>
      <c r="F238">
        <v>15.1185299029092</v>
      </c>
      <c r="G238">
        <v>0</v>
      </c>
      <c r="H238">
        <v>0</v>
      </c>
      <c r="I238" s="72">
        <f t="shared" si="6"/>
        <v>78.702161183859303</v>
      </c>
    </row>
    <row r="239" spans="1:9" x14ac:dyDescent="0.3">
      <c r="A239">
        <v>2034</v>
      </c>
      <c r="B239">
        <v>5</v>
      </c>
      <c r="C239">
        <v>31</v>
      </c>
      <c r="D239">
        <v>2034.414</v>
      </c>
      <c r="E239">
        <v>63.670839081635201</v>
      </c>
      <c r="F239">
        <v>15.1416092698265</v>
      </c>
      <c r="G239">
        <v>0</v>
      </c>
      <c r="H239">
        <v>0</v>
      </c>
      <c r="I239" s="72">
        <f t="shared" si="6"/>
        <v>78.812448351461697</v>
      </c>
    </row>
    <row r="240" spans="1:9" x14ac:dyDescent="0.3">
      <c r="A240">
        <v>2034</v>
      </c>
      <c r="B240">
        <v>6</v>
      </c>
      <c r="C240">
        <v>30</v>
      </c>
      <c r="D240">
        <v>2034.4960000000001</v>
      </c>
      <c r="E240">
        <v>63.754931703136101</v>
      </c>
      <c r="F240">
        <v>15.2154798634354</v>
      </c>
      <c r="G240">
        <v>0</v>
      </c>
      <c r="H240">
        <v>0</v>
      </c>
      <c r="I240" s="106">
        <f t="shared" si="6"/>
        <v>78.970411566571499</v>
      </c>
    </row>
    <row r="241" spans="1:9" x14ac:dyDescent="0.3">
      <c r="A241">
        <v>2034</v>
      </c>
      <c r="B241">
        <v>7</v>
      </c>
      <c r="C241">
        <v>31</v>
      </c>
      <c r="D241">
        <v>2034.5809999999999</v>
      </c>
      <c r="E241">
        <v>63.841516918271601</v>
      </c>
      <c r="F241">
        <v>15.3078916942092</v>
      </c>
      <c r="G241">
        <v>0</v>
      </c>
      <c r="H241">
        <v>0</v>
      </c>
      <c r="I241" s="72">
        <f t="shared" si="6"/>
        <v>79.149408612480798</v>
      </c>
    </row>
    <row r="242" spans="1:9" x14ac:dyDescent="0.3">
      <c r="A242">
        <v>2034</v>
      </c>
      <c r="B242">
        <v>8</v>
      </c>
      <c r="C242">
        <v>31</v>
      </c>
      <c r="D242">
        <v>2034.6659999999999</v>
      </c>
      <c r="E242">
        <v>63.927788163617002</v>
      </c>
      <c r="F242">
        <v>15.4197773214841</v>
      </c>
      <c r="G242">
        <v>0</v>
      </c>
      <c r="H242">
        <v>0</v>
      </c>
      <c r="I242" s="72">
        <f t="shared" si="6"/>
        <v>79.3475654851011</v>
      </c>
    </row>
    <row r="243" spans="1:9" x14ac:dyDescent="0.3">
      <c r="A243">
        <v>2034</v>
      </c>
      <c r="B243">
        <v>9</v>
      </c>
      <c r="C243">
        <v>30</v>
      </c>
      <c r="D243">
        <v>2034.748</v>
      </c>
      <c r="E243">
        <v>64.010979051671598</v>
      </c>
      <c r="F243">
        <v>15.500763894001899</v>
      </c>
      <c r="G243">
        <v>0</v>
      </c>
      <c r="H243">
        <v>0</v>
      </c>
      <c r="I243" s="72">
        <f t="shared" si="6"/>
        <v>79.51174294567349</v>
      </c>
    </row>
    <row r="244" spans="1:9" x14ac:dyDescent="0.3">
      <c r="A244">
        <v>2034</v>
      </c>
      <c r="B244">
        <v>10</v>
      </c>
      <c r="C244">
        <v>31</v>
      </c>
      <c r="D244">
        <v>2034.8330000000001</v>
      </c>
      <c r="E244">
        <v>64.096637209780795</v>
      </c>
      <c r="F244">
        <v>15.4961495893674</v>
      </c>
      <c r="G244">
        <v>0</v>
      </c>
      <c r="H244">
        <v>0</v>
      </c>
      <c r="I244" s="72">
        <f t="shared" si="6"/>
        <v>79.5927867991482</v>
      </c>
    </row>
    <row r="245" spans="1:9" x14ac:dyDescent="0.3">
      <c r="A245">
        <v>2034</v>
      </c>
      <c r="B245">
        <v>11</v>
      </c>
      <c r="C245">
        <v>30</v>
      </c>
      <c r="D245">
        <v>2034.915</v>
      </c>
      <c r="E245">
        <v>64.179211197509701</v>
      </c>
      <c r="F245">
        <v>15.4738692639124</v>
      </c>
      <c r="G245">
        <v>0</v>
      </c>
      <c r="H245">
        <v>0</v>
      </c>
      <c r="I245" s="72">
        <f t="shared" si="6"/>
        <v>79.653080461422107</v>
      </c>
    </row>
    <row r="246" spans="1:9" x14ac:dyDescent="0.3">
      <c r="A246">
        <v>2034</v>
      </c>
      <c r="B246">
        <v>12</v>
      </c>
      <c r="C246">
        <v>31</v>
      </c>
      <c r="D246">
        <v>2035</v>
      </c>
      <c r="E246">
        <v>64.264234133392193</v>
      </c>
      <c r="F246">
        <v>15.445672077118999</v>
      </c>
      <c r="G246">
        <v>0</v>
      </c>
      <c r="H246">
        <v>0</v>
      </c>
      <c r="I246" s="72">
        <f t="shared" si="6"/>
        <v>79.709906210511193</v>
      </c>
    </row>
    <row r="247" spans="1:9" x14ac:dyDescent="0.3">
      <c r="A247">
        <v>2035</v>
      </c>
      <c r="B247">
        <v>1</v>
      </c>
      <c r="C247">
        <v>31</v>
      </c>
      <c r="D247">
        <v>2035.085</v>
      </c>
      <c r="E247">
        <v>64.348951104097097</v>
      </c>
      <c r="F247">
        <v>15.418613915932299</v>
      </c>
      <c r="G247">
        <v>0</v>
      </c>
      <c r="H247">
        <v>0</v>
      </c>
      <c r="I247" s="72">
        <f t="shared" si="6"/>
        <v>79.767565020029394</v>
      </c>
    </row>
    <row r="248" spans="1:9" x14ac:dyDescent="0.3">
      <c r="A248">
        <v>2035</v>
      </c>
      <c r="B248">
        <v>2</v>
      </c>
      <c r="C248">
        <v>28</v>
      </c>
      <c r="D248">
        <v>2035.162</v>
      </c>
      <c r="E248">
        <v>64.425207981373504</v>
      </c>
      <c r="F248">
        <v>15.398690027180301</v>
      </c>
      <c r="G248">
        <v>0</v>
      </c>
      <c r="H248">
        <v>0</v>
      </c>
      <c r="I248" s="72">
        <f t="shared" si="6"/>
        <v>79.823898008553812</v>
      </c>
    </row>
    <row r="249" spans="1:9" x14ac:dyDescent="0.3">
      <c r="A249">
        <v>2035</v>
      </c>
      <c r="B249">
        <v>3</v>
      </c>
      <c r="C249">
        <v>31</v>
      </c>
      <c r="D249">
        <v>2035.2470000000001</v>
      </c>
      <c r="E249">
        <v>64.509346962393195</v>
      </c>
      <c r="F249">
        <v>15.3923021168752</v>
      </c>
      <c r="G249">
        <v>0</v>
      </c>
      <c r="H249">
        <v>0</v>
      </c>
      <c r="I249" s="72">
        <f t="shared" si="6"/>
        <v>79.901649079268395</v>
      </c>
    </row>
    <row r="250" spans="1:9" x14ac:dyDescent="0.3">
      <c r="A250">
        <v>2035</v>
      </c>
      <c r="B250">
        <v>4</v>
      </c>
      <c r="C250">
        <v>30</v>
      </c>
      <c r="D250">
        <v>2035.329</v>
      </c>
      <c r="E250">
        <v>64.590484763005094</v>
      </c>
      <c r="F250">
        <v>15.4045594953906</v>
      </c>
      <c r="G250">
        <v>0</v>
      </c>
      <c r="H250">
        <v>0</v>
      </c>
      <c r="I250" s="72">
        <f t="shared" si="6"/>
        <v>79.995044258395694</v>
      </c>
    </row>
    <row r="251" spans="1:9" x14ac:dyDescent="0.3">
      <c r="A251">
        <v>2035</v>
      </c>
      <c r="B251">
        <v>5</v>
      </c>
      <c r="C251">
        <v>31</v>
      </c>
      <c r="D251">
        <v>2035.414</v>
      </c>
      <c r="E251">
        <v>64.674032070900097</v>
      </c>
      <c r="F251">
        <v>15.4256827971776</v>
      </c>
      <c r="G251">
        <v>0</v>
      </c>
      <c r="H251">
        <v>0</v>
      </c>
      <c r="I251" s="72">
        <f t="shared" si="6"/>
        <v>80.099714868077697</v>
      </c>
    </row>
    <row r="252" spans="1:9" x14ac:dyDescent="0.3">
      <c r="A252">
        <v>2035</v>
      </c>
      <c r="B252">
        <v>6</v>
      </c>
      <c r="C252">
        <v>30</v>
      </c>
      <c r="D252">
        <v>2035.4960000000001</v>
      </c>
      <c r="E252">
        <v>64.754600165024399</v>
      </c>
      <c r="F252">
        <v>15.498457490700099</v>
      </c>
      <c r="G252">
        <v>0</v>
      </c>
      <c r="H252">
        <v>0</v>
      </c>
      <c r="I252" s="106">
        <f t="shared" si="6"/>
        <v>80.253057655724504</v>
      </c>
    </row>
    <row r="253" spans="1:9" x14ac:dyDescent="0.3">
      <c r="A253">
        <v>2035</v>
      </c>
      <c r="B253">
        <v>7</v>
      </c>
      <c r="C253">
        <v>31</v>
      </c>
      <c r="D253">
        <v>2035.5809999999999</v>
      </c>
      <c r="E253">
        <v>64.837561734035205</v>
      </c>
      <c r="F253">
        <v>15.5899799535437</v>
      </c>
      <c r="G253">
        <v>0</v>
      </c>
      <c r="H253">
        <v>0</v>
      </c>
      <c r="I253" s="72">
        <f t="shared" si="6"/>
        <v>80.427541687578909</v>
      </c>
    </row>
    <row r="254" spans="1:9" x14ac:dyDescent="0.3">
      <c r="A254">
        <v>2035</v>
      </c>
      <c r="B254">
        <v>8</v>
      </c>
      <c r="C254">
        <v>31</v>
      </c>
      <c r="D254">
        <v>2035.6659999999999</v>
      </c>
      <c r="E254">
        <v>64.920227883057393</v>
      </c>
      <c r="F254">
        <v>15.701295159466399</v>
      </c>
      <c r="G254">
        <v>0</v>
      </c>
      <c r="H254">
        <v>0</v>
      </c>
      <c r="I254" s="72">
        <f t="shared" si="6"/>
        <v>80.621523042523791</v>
      </c>
    </row>
    <row r="255" spans="1:9" x14ac:dyDescent="0.3">
      <c r="A255">
        <v>2035</v>
      </c>
      <c r="B255">
        <v>9</v>
      </c>
      <c r="C255">
        <v>30</v>
      </c>
      <c r="D255">
        <v>2035.748</v>
      </c>
      <c r="E255">
        <v>64.999947519666705</v>
      </c>
      <c r="F255">
        <v>15.7813870741908</v>
      </c>
      <c r="G255">
        <v>0</v>
      </c>
      <c r="H255">
        <v>0</v>
      </c>
      <c r="I255" s="72">
        <f t="shared" si="6"/>
        <v>80.781334593857508</v>
      </c>
    </row>
    <row r="256" spans="1:9" x14ac:dyDescent="0.3">
      <c r="A256">
        <v>2035</v>
      </c>
      <c r="B256">
        <v>10</v>
      </c>
      <c r="C256">
        <v>31</v>
      </c>
      <c r="D256">
        <v>2035.8330000000001</v>
      </c>
      <c r="E256">
        <v>65.082036741105199</v>
      </c>
      <c r="F256">
        <v>15.774565604070901</v>
      </c>
      <c r="G256">
        <v>0</v>
      </c>
      <c r="H256">
        <v>0</v>
      </c>
      <c r="I256" s="72">
        <f t="shared" si="6"/>
        <v>80.8566023451761</v>
      </c>
    </row>
    <row r="257" spans="1:9" x14ac:dyDescent="0.3">
      <c r="A257">
        <v>2035</v>
      </c>
      <c r="B257">
        <v>11</v>
      </c>
      <c r="C257">
        <v>30</v>
      </c>
      <c r="D257">
        <v>2035.915</v>
      </c>
      <c r="E257">
        <v>65.161177675031198</v>
      </c>
      <c r="F257">
        <v>15.749915785827501</v>
      </c>
      <c r="G257">
        <v>0</v>
      </c>
      <c r="H257">
        <v>0</v>
      </c>
      <c r="I257" s="72">
        <f t="shared" si="6"/>
        <v>80.911093460858694</v>
      </c>
    </row>
    <row r="258" spans="1:9" x14ac:dyDescent="0.3">
      <c r="A258">
        <v>2035</v>
      </c>
      <c r="B258">
        <v>12</v>
      </c>
      <c r="C258">
        <v>31</v>
      </c>
      <c r="D258">
        <v>2036</v>
      </c>
      <c r="E258">
        <v>65.242670146301506</v>
      </c>
      <c r="F258">
        <v>15.719220554641799</v>
      </c>
      <c r="G258">
        <v>0</v>
      </c>
      <c r="H258">
        <v>0</v>
      </c>
      <c r="I258" s="72">
        <f t="shared" si="6"/>
        <v>80.9618907009433</v>
      </c>
    </row>
    <row r="259" spans="1:9" x14ac:dyDescent="0.3">
      <c r="A259">
        <v>2036</v>
      </c>
      <c r="B259">
        <v>1</v>
      </c>
      <c r="C259">
        <v>31</v>
      </c>
      <c r="D259">
        <v>2036.085</v>
      </c>
      <c r="E259">
        <v>65.323874619722901</v>
      </c>
      <c r="F259">
        <v>15.689704910795101</v>
      </c>
      <c r="G259">
        <v>0</v>
      </c>
      <c r="H259">
        <v>0</v>
      </c>
      <c r="I259" s="72">
        <f t="shared" si="6"/>
        <v>81.013579530518001</v>
      </c>
    </row>
    <row r="260" spans="1:9" x14ac:dyDescent="0.3">
      <c r="A260">
        <v>2036</v>
      </c>
      <c r="B260">
        <v>2</v>
      </c>
      <c r="C260">
        <v>29</v>
      </c>
      <c r="D260">
        <v>2036.164</v>
      </c>
      <c r="E260">
        <v>65.399580659573402</v>
      </c>
      <c r="F260">
        <v>15.667251426555699</v>
      </c>
      <c r="G260">
        <v>0</v>
      </c>
      <c r="H260">
        <v>0</v>
      </c>
      <c r="I260" s="72">
        <f t="shared" si="6"/>
        <v>81.066832086129097</v>
      </c>
    </row>
    <row r="261" spans="1:9" x14ac:dyDescent="0.3">
      <c r="A261">
        <v>2036</v>
      </c>
      <c r="B261">
        <v>3</v>
      </c>
      <c r="C261">
        <v>31</v>
      </c>
      <c r="D261">
        <v>2036.249</v>
      </c>
      <c r="E261">
        <v>65.480231849931201</v>
      </c>
      <c r="F261">
        <v>15.659476907275099</v>
      </c>
      <c r="G261">
        <v>0</v>
      </c>
      <c r="H261">
        <v>0</v>
      </c>
      <c r="I261" s="72">
        <f t="shared" si="6"/>
        <v>81.139708757206307</v>
      </c>
    </row>
    <row r="262" spans="1:9" x14ac:dyDescent="0.3">
      <c r="A262">
        <v>2036</v>
      </c>
      <c r="B262">
        <v>4</v>
      </c>
      <c r="C262">
        <v>30</v>
      </c>
      <c r="D262">
        <v>2036.3309999999999</v>
      </c>
      <c r="E262">
        <v>65.558011210744596</v>
      </c>
      <c r="F262">
        <v>15.6699045864857</v>
      </c>
      <c r="G262">
        <v>0</v>
      </c>
      <c r="H262">
        <v>0</v>
      </c>
      <c r="I262" s="72">
        <f t="shared" si="6"/>
        <v>81.227915797230295</v>
      </c>
    </row>
    <row r="263" spans="1:9" x14ac:dyDescent="0.3">
      <c r="A263">
        <v>2036</v>
      </c>
      <c r="B263">
        <v>5</v>
      </c>
      <c r="C263">
        <v>31</v>
      </c>
      <c r="D263">
        <v>2036.415</v>
      </c>
      <c r="E263">
        <v>65.638105425378896</v>
      </c>
      <c r="F263">
        <v>15.6913363821605</v>
      </c>
      <c r="G263">
        <v>0</v>
      </c>
      <c r="H263">
        <v>0</v>
      </c>
      <c r="I263" s="72">
        <f t="shared" si="6"/>
        <v>81.329441807539396</v>
      </c>
    </row>
    <row r="264" spans="1:9" x14ac:dyDescent="0.3">
      <c r="A264">
        <v>2036</v>
      </c>
      <c r="B264">
        <v>6</v>
      </c>
      <c r="C264">
        <v>30</v>
      </c>
      <c r="D264">
        <v>2036.4970000000001</v>
      </c>
      <c r="E264">
        <v>65.715348449990302</v>
      </c>
      <c r="F264">
        <v>15.763620895583699</v>
      </c>
      <c r="G264">
        <v>0</v>
      </c>
      <c r="H264">
        <v>0</v>
      </c>
      <c r="I264" s="106">
        <f t="shared" si="6"/>
        <v>81.478969345574001</v>
      </c>
    </row>
    <row r="265" spans="1:9" x14ac:dyDescent="0.3">
      <c r="A265">
        <v>2036</v>
      </c>
      <c r="B265">
        <v>7</v>
      </c>
      <c r="C265">
        <v>31</v>
      </c>
      <c r="D265">
        <v>2036.5820000000001</v>
      </c>
      <c r="E265">
        <v>65.7948911950633</v>
      </c>
      <c r="F265">
        <v>15.855285867712301</v>
      </c>
      <c r="G265">
        <v>0</v>
      </c>
      <c r="H265">
        <v>0</v>
      </c>
      <c r="I265" s="72">
        <f t="shared" si="6"/>
        <v>81.650177062775597</v>
      </c>
    </row>
    <row r="266" spans="1:9" x14ac:dyDescent="0.3">
      <c r="A266">
        <v>2036</v>
      </c>
      <c r="B266">
        <v>8</v>
      </c>
      <c r="C266">
        <v>31</v>
      </c>
      <c r="D266">
        <v>2036.6669999999999</v>
      </c>
      <c r="E266">
        <v>65.874155773513905</v>
      </c>
      <c r="F266">
        <v>15.965743198781199</v>
      </c>
      <c r="G266">
        <v>0</v>
      </c>
      <c r="H266">
        <v>0</v>
      </c>
      <c r="I266" s="72">
        <f t="shared" si="6"/>
        <v>81.839898972295103</v>
      </c>
    </row>
    <row r="267" spans="1:9" x14ac:dyDescent="0.3">
      <c r="A267">
        <v>2036</v>
      </c>
      <c r="B267">
        <v>9</v>
      </c>
      <c r="C267">
        <v>30</v>
      </c>
      <c r="D267">
        <v>2036.749</v>
      </c>
      <c r="E267">
        <v>65.950599893121307</v>
      </c>
      <c r="F267">
        <v>16.0416322698076</v>
      </c>
      <c r="G267">
        <v>0</v>
      </c>
      <c r="H267">
        <v>0</v>
      </c>
      <c r="I267" s="72">
        <f t="shared" ref="I267:I311" si="7">E267+F267</f>
        <v>81.9922321629289</v>
      </c>
    </row>
    <row r="268" spans="1:9" x14ac:dyDescent="0.3">
      <c r="A268">
        <v>2036</v>
      </c>
      <c r="B268">
        <v>10</v>
      </c>
      <c r="C268">
        <v>31</v>
      </c>
      <c r="D268">
        <v>2036.8330000000001</v>
      </c>
      <c r="E268">
        <v>66.029321178635101</v>
      </c>
      <c r="F268">
        <v>16.032128848806099</v>
      </c>
      <c r="G268">
        <v>0</v>
      </c>
      <c r="H268">
        <v>0</v>
      </c>
      <c r="I268" s="72">
        <f t="shared" si="7"/>
        <v>82.061450027441197</v>
      </c>
    </row>
    <row r="269" spans="1:9" x14ac:dyDescent="0.3">
      <c r="A269">
        <v>2036</v>
      </c>
      <c r="B269">
        <v>11</v>
      </c>
      <c r="C269">
        <v>30</v>
      </c>
      <c r="D269">
        <v>2036.915</v>
      </c>
      <c r="E269">
        <v>66.105220403221097</v>
      </c>
      <c r="F269">
        <v>16.0051370388416</v>
      </c>
      <c r="G269">
        <v>0</v>
      </c>
      <c r="H269">
        <v>0</v>
      </c>
      <c r="I269" s="72">
        <f t="shared" si="7"/>
        <v>82.110357442062693</v>
      </c>
    </row>
    <row r="270" spans="1:9" x14ac:dyDescent="0.3">
      <c r="A270">
        <v>2036</v>
      </c>
      <c r="B270">
        <v>12</v>
      </c>
      <c r="C270">
        <v>31</v>
      </c>
      <c r="D270">
        <v>2037</v>
      </c>
      <c r="E270">
        <v>66.183380595538694</v>
      </c>
      <c r="F270">
        <v>15.9722115575548</v>
      </c>
      <c r="G270">
        <v>0</v>
      </c>
      <c r="H270">
        <v>0</v>
      </c>
      <c r="I270" s="72">
        <f t="shared" si="7"/>
        <v>82.155592153093494</v>
      </c>
    </row>
    <row r="271" spans="1:9" x14ac:dyDescent="0.3">
      <c r="A271">
        <v>2037</v>
      </c>
      <c r="B271">
        <v>1</v>
      </c>
      <c r="C271">
        <v>31</v>
      </c>
      <c r="D271">
        <v>2037.085</v>
      </c>
      <c r="E271">
        <v>66.261269506013704</v>
      </c>
      <c r="F271">
        <v>15.9406104614991</v>
      </c>
      <c r="G271">
        <v>0</v>
      </c>
      <c r="H271">
        <v>0</v>
      </c>
      <c r="I271" s="72">
        <f t="shared" si="7"/>
        <v>82.201879967512809</v>
      </c>
    </row>
    <row r="272" spans="1:9" x14ac:dyDescent="0.3">
      <c r="A272">
        <v>2037</v>
      </c>
      <c r="B272">
        <v>2</v>
      </c>
      <c r="C272">
        <v>28</v>
      </c>
      <c r="D272">
        <v>2037.162</v>
      </c>
      <c r="E272">
        <v>66.331388732912998</v>
      </c>
      <c r="F272">
        <v>15.917105429900399</v>
      </c>
      <c r="G272">
        <v>0</v>
      </c>
      <c r="H272">
        <v>0</v>
      </c>
      <c r="I272" s="72">
        <f t="shared" si="7"/>
        <v>82.248494162813401</v>
      </c>
    </row>
    <row r="273" spans="1:9" x14ac:dyDescent="0.3">
      <c r="A273">
        <v>2037</v>
      </c>
      <c r="B273">
        <v>3</v>
      </c>
      <c r="C273">
        <v>31</v>
      </c>
      <c r="D273">
        <v>2037.2470000000001</v>
      </c>
      <c r="E273">
        <v>66.408765063313695</v>
      </c>
      <c r="F273">
        <v>15.9074274040834</v>
      </c>
      <c r="G273">
        <v>0</v>
      </c>
      <c r="H273">
        <v>0</v>
      </c>
      <c r="I273" s="72">
        <f t="shared" si="7"/>
        <v>82.316192467397087</v>
      </c>
    </row>
    <row r="274" spans="1:9" x14ac:dyDescent="0.3">
      <c r="A274">
        <v>2037</v>
      </c>
      <c r="B274">
        <v>4</v>
      </c>
      <c r="C274">
        <v>30</v>
      </c>
      <c r="D274">
        <v>2037.329</v>
      </c>
      <c r="E274">
        <v>66.483390790436403</v>
      </c>
      <c r="F274">
        <v>15.9162613958579</v>
      </c>
      <c r="G274">
        <v>0</v>
      </c>
      <c r="H274">
        <v>0</v>
      </c>
      <c r="I274" s="72">
        <f t="shared" si="7"/>
        <v>82.399652186294304</v>
      </c>
    </row>
    <row r="275" spans="1:9" x14ac:dyDescent="0.3">
      <c r="A275">
        <v>2037</v>
      </c>
      <c r="B275">
        <v>5</v>
      </c>
      <c r="C275">
        <v>31</v>
      </c>
      <c r="D275">
        <v>2037.414</v>
      </c>
      <c r="E275">
        <v>66.560242255917203</v>
      </c>
      <c r="F275">
        <v>15.936174531773499</v>
      </c>
      <c r="G275">
        <v>0</v>
      </c>
      <c r="H275">
        <v>0</v>
      </c>
      <c r="I275" s="72">
        <f t="shared" si="7"/>
        <v>82.496416787690706</v>
      </c>
    </row>
    <row r="276" spans="1:9" x14ac:dyDescent="0.3">
      <c r="A276">
        <v>2037</v>
      </c>
      <c r="B276">
        <v>6</v>
      </c>
      <c r="C276">
        <v>30</v>
      </c>
      <c r="D276">
        <v>2037.4960000000001</v>
      </c>
      <c r="E276">
        <v>66.634362530960004</v>
      </c>
      <c r="F276">
        <v>16.0076534992251</v>
      </c>
      <c r="G276">
        <v>0</v>
      </c>
      <c r="H276">
        <v>0</v>
      </c>
      <c r="I276" s="106">
        <f t="shared" si="7"/>
        <v>82.642016030185104</v>
      </c>
    </row>
    <row r="277" spans="1:9" x14ac:dyDescent="0.3">
      <c r="A277">
        <v>2037</v>
      </c>
      <c r="B277">
        <v>7</v>
      </c>
      <c r="C277">
        <v>31</v>
      </c>
      <c r="D277">
        <v>2037.5809999999999</v>
      </c>
      <c r="E277">
        <v>66.7106942446202</v>
      </c>
      <c r="F277">
        <v>16.0986975486414</v>
      </c>
      <c r="G277">
        <v>0</v>
      </c>
      <c r="H277">
        <v>0</v>
      </c>
      <c r="I277" s="72">
        <f t="shared" si="7"/>
        <v>82.809391793261597</v>
      </c>
    </row>
    <row r="278" spans="1:9" x14ac:dyDescent="0.3">
      <c r="A278">
        <v>2037</v>
      </c>
      <c r="B278">
        <v>8</v>
      </c>
      <c r="C278">
        <v>31</v>
      </c>
      <c r="D278">
        <v>2037.6659999999999</v>
      </c>
      <c r="E278">
        <v>66.786763761599701</v>
      </c>
      <c r="F278">
        <v>16.208790472103601</v>
      </c>
      <c r="G278">
        <v>0</v>
      </c>
      <c r="H278">
        <v>0</v>
      </c>
      <c r="I278" s="72">
        <f t="shared" si="7"/>
        <v>82.995554233703302</v>
      </c>
    </row>
    <row r="279" spans="1:9" x14ac:dyDescent="0.3">
      <c r="A279">
        <v>2037</v>
      </c>
      <c r="B279">
        <v>9</v>
      </c>
      <c r="C279">
        <v>30</v>
      </c>
      <c r="D279">
        <v>2037.748</v>
      </c>
      <c r="E279">
        <v>66.860130998090597</v>
      </c>
      <c r="F279">
        <v>16.283991091958999</v>
      </c>
      <c r="G279">
        <v>0</v>
      </c>
      <c r="H279">
        <v>0</v>
      </c>
      <c r="I279" s="72">
        <f t="shared" si="7"/>
        <v>83.144122090049592</v>
      </c>
    </row>
    <row r="280" spans="1:9" x14ac:dyDescent="0.3">
      <c r="A280">
        <v>2037</v>
      </c>
      <c r="B280">
        <v>10</v>
      </c>
      <c r="C280">
        <v>31</v>
      </c>
      <c r="D280">
        <v>2037.8330000000001</v>
      </c>
      <c r="E280">
        <v>66.935688357193598</v>
      </c>
      <c r="F280">
        <v>16.272699558071999</v>
      </c>
      <c r="G280">
        <v>0</v>
      </c>
      <c r="H280">
        <v>0</v>
      </c>
      <c r="I280" s="72">
        <f t="shared" si="7"/>
        <v>83.208387915265604</v>
      </c>
    </row>
    <row r="281" spans="1:9" x14ac:dyDescent="0.3">
      <c r="A281">
        <v>2037</v>
      </c>
      <c r="B281">
        <v>11</v>
      </c>
      <c r="C281">
        <v>30</v>
      </c>
      <c r="D281">
        <v>2037.915</v>
      </c>
      <c r="E281">
        <v>67.008542665668301</v>
      </c>
      <c r="F281">
        <v>16.243777965989899</v>
      </c>
      <c r="G281">
        <v>0</v>
      </c>
      <c r="H281">
        <v>0</v>
      </c>
      <c r="I281" s="72">
        <f t="shared" si="7"/>
        <v>83.252320631658193</v>
      </c>
    </row>
    <row r="282" spans="1:9" x14ac:dyDescent="0.3">
      <c r="A282">
        <v>2037</v>
      </c>
      <c r="B282">
        <v>12</v>
      </c>
      <c r="C282">
        <v>31</v>
      </c>
      <c r="D282">
        <v>2038</v>
      </c>
      <c r="E282">
        <v>67.083571838423396</v>
      </c>
      <c r="F282">
        <v>16.2088151653629</v>
      </c>
      <c r="G282">
        <v>0</v>
      </c>
      <c r="H282">
        <v>0</v>
      </c>
      <c r="I282" s="72">
        <f t="shared" si="7"/>
        <v>83.292387003786303</v>
      </c>
    </row>
    <row r="283" spans="1:9" x14ac:dyDescent="0.3">
      <c r="A283">
        <v>2038</v>
      </c>
      <c r="B283">
        <v>1</v>
      </c>
      <c r="C283">
        <v>31</v>
      </c>
      <c r="D283">
        <v>2038.085</v>
      </c>
      <c r="E283">
        <v>67.158345206488093</v>
      </c>
      <c r="F283">
        <v>16.175209987187401</v>
      </c>
      <c r="G283">
        <v>0</v>
      </c>
      <c r="H283">
        <v>0</v>
      </c>
      <c r="I283" s="72">
        <f t="shared" si="7"/>
        <v>83.333555193675494</v>
      </c>
    </row>
    <row r="284" spans="1:9" x14ac:dyDescent="0.3">
      <c r="A284">
        <v>2038</v>
      </c>
      <c r="B284">
        <v>2</v>
      </c>
      <c r="C284">
        <v>28</v>
      </c>
      <c r="D284">
        <v>2038.162</v>
      </c>
      <c r="E284">
        <v>67.225663618157895</v>
      </c>
      <c r="F284">
        <v>16.1499667215455</v>
      </c>
      <c r="G284">
        <v>0</v>
      </c>
      <c r="H284">
        <v>0</v>
      </c>
      <c r="I284" s="72">
        <f t="shared" si="7"/>
        <v>83.375630339703392</v>
      </c>
    </row>
    <row r="285" spans="1:9" x14ac:dyDescent="0.3">
      <c r="A285">
        <v>2038</v>
      </c>
      <c r="B285">
        <v>3</v>
      </c>
      <c r="C285">
        <v>31</v>
      </c>
      <c r="D285">
        <v>2038.2470000000001</v>
      </c>
      <c r="E285">
        <v>67.299953597997799</v>
      </c>
      <c r="F285">
        <v>16.138568460159799</v>
      </c>
      <c r="G285">
        <v>0</v>
      </c>
      <c r="H285">
        <v>0</v>
      </c>
      <c r="I285" s="72">
        <f t="shared" si="7"/>
        <v>83.438522058157602</v>
      </c>
    </row>
    <row r="286" spans="1:9" x14ac:dyDescent="0.3">
      <c r="A286">
        <v>2038</v>
      </c>
      <c r="B286">
        <v>4</v>
      </c>
      <c r="C286">
        <v>30</v>
      </c>
      <c r="D286">
        <v>2038.329</v>
      </c>
      <c r="E286">
        <v>67.371607007922194</v>
      </c>
      <c r="F286">
        <v>16.145968295248402</v>
      </c>
      <c r="G286">
        <v>0</v>
      </c>
      <c r="H286">
        <v>0</v>
      </c>
      <c r="I286" s="72">
        <f t="shared" si="7"/>
        <v>83.517575303170588</v>
      </c>
    </row>
    <row r="287" spans="1:9" x14ac:dyDescent="0.3">
      <c r="A287">
        <v>2038</v>
      </c>
      <c r="B287">
        <v>5</v>
      </c>
      <c r="C287">
        <v>31</v>
      </c>
      <c r="D287">
        <v>2038.414</v>
      </c>
      <c r="E287">
        <v>67.445401943524402</v>
      </c>
      <c r="F287">
        <v>16.1645179208085</v>
      </c>
      <c r="G287">
        <v>0</v>
      </c>
      <c r="H287">
        <v>0</v>
      </c>
      <c r="I287" s="72">
        <f t="shared" si="7"/>
        <v>83.609919864332909</v>
      </c>
    </row>
    <row r="288" spans="1:9" x14ac:dyDescent="0.3">
      <c r="A288">
        <v>2038</v>
      </c>
      <c r="B288">
        <v>6</v>
      </c>
      <c r="C288">
        <v>30</v>
      </c>
      <c r="D288">
        <v>2038.4960000000001</v>
      </c>
      <c r="E288">
        <v>67.516578584441106</v>
      </c>
      <c r="F288">
        <v>16.235296486300602</v>
      </c>
      <c r="G288">
        <v>0</v>
      </c>
      <c r="H288">
        <v>0</v>
      </c>
      <c r="I288" s="106">
        <f t="shared" si="7"/>
        <v>83.751875070741704</v>
      </c>
    </row>
    <row r="289" spans="1:9" x14ac:dyDescent="0.3">
      <c r="A289">
        <v>2038</v>
      </c>
      <c r="B289">
        <v>7</v>
      </c>
      <c r="C289">
        <v>31</v>
      </c>
      <c r="D289">
        <v>2038.5809999999999</v>
      </c>
      <c r="E289">
        <v>67.589883227145407</v>
      </c>
      <c r="F289">
        <v>16.3258132844838</v>
      </c>
      <c r="G289">
        <v>0</v>
      </c>
      <c r="H289">
        <v>0</v>
      </c>
      <c r="I289" s="72">
        <f t="shared" si="7"/>
        <v>83.915696511629207</v>
      </c>
    </row>
    <row r="290" spans="1:9" x14ac:dyDescent="0.3">
      <c r="A290">
        <v>2038</v>
      </c>
      <c r="B290">
        <v>8</v>
      </c>
      <c r="C290">
        <v>31</v>
      </c>
      <c r="D290">
        <v>2038.6659999999999</v>
      </c>
      <c r="E290">
        <v>67.662940507052596</v>
      </c>
      <c r="F290">
        <v>16.435617600019398</v>
      </c>
      <c r="G290">
        <v>0</v>
      </c>
      <c r="H290">
        <v>0</v>
      </c>
      <c r="I290" s="72">
        <f t="shared" si="7"/>
        <v>84.098558107071995</v>
      </c>
    </row>
    <row r="291" spans="1:9" x14ac:dyDescent="0.3">
      <c r="A291">
        <v>2038</v>
      </c>
      <c r="B291">
        <v>9</v>
      </c>
      <c r="C291">
        <v>30</v>
      </c>
      <c r="D291">
        <v>2038.748</v>
      </c>
      <c r="E291">
        <v>67.733406713052105</v>
      </c>
      <c r="F291">
        <v>16.5102238146474</v>
      </c>
      <c r="G291">
        <v>0</v>
      </c>
      <c r="H291">
        <v>0</v>
      </c>
      <c r="I291" s="72">
        <f t="shared" si="7"/>
        <v>84.243630527699509</v>
      </c>
    </row>
    <row r="292" spans="1:9" x14ac:dyDescent="0.3">
      <c r="A292">
        <v>2038</v>
      </c>
      <c r="B292">
        <v>10</v>
      </c>
      <c r="C292">
        <v>31</v>
      </c>
      <c r="D292">
        <v>2038.8330000000001</v>
      </c>
      <c r="E292">
        <v>67.805980757766605</v>
      </c>
      <c r="F292">
        <v>16.497309931429701</v>
      </c>
      <c r="G292">
        <v>0</v>
      </c>
      <c r="H292">
        <v>0</v>
      </c>
      <c r="I292" s="72">
        <f t="shared" si="7"/>
        <v>84.303290689196302</v>
      </c>
    </row>
    <row r="293" spans="1:9" x14ac:dyDescent="0.3">
      <c r="A293">
        <v>2038</v>
      </c>
      <c r="B293">
        <v>11</v>
      </c>
      <c r="C293">
        <v>30</v>
      </c>
      <c r="D293">
        <v>2038.915</v>
      </c>
      <c r="E293">
        <v>67.875963647535102</v>
      </c>
      <c r="F293">
        <v>16.466630744685499</v>
      </c>
      <c r="G293">
        <v>0</v>
      </c>
      <c r="H293">
        <v>0</v>
      </c>
      <c r="I293" s="72">
        <f t="shared" si="7"/>
        <v>84.342594392220605</v>
      </c>
    </row>
    <row r="294" spans="1:9" x14ac:dyDescent="0.3">
      <c r="A294">
        <v>2038</v>
      </c>
      <c r="B294">
        <v>12</v>
      </c>
      <c r="C294">
        <v>31</v>
      </c>
      <c r="D294">
        <v>2039</v>
      </c>
      <c r="E294">
        <v>67.948039987039493</v>
      </c>
      <c r="F294">
        <v>16.429810231227499</v>
      </c>
      <c r="G294">
        <v>0</v>
      </c>
      <c r="H294">
        <v>0</v>
      </c>
      <c r="I294" s="72">
        <f t="shared" si="7"/>
        <v>84.377850218266985</v>
      </c>
    </row>
    <row r="295" spans="1:9" x14ac:dyDescent="0.3">
      <c r="A295">
        <v>2039</v>
      </c>
      <c r="B295">
        <v>1</v>
      </c>
      <c r="C295">
        <v>31</v>
      </c>
      <c r="D295">
        <v>2039.085</v>
      </c>
      <c r="E295">
        <v>68.019874902661996</v>
      </c>
      <c r="F295">
        <v>16.394377354972701</v>
      </c>
      <c r="G295">
        <v>0</v>
      </c>
      <c r="H295">
        <v>0</v>
      </c>
      <c r="I295" s="72">
        <f t="shared" si="7"/>
        <v>84.414252257634701</v>
      </c>
    </row>
    <row r="296" spans="1:9" x14ac:dyDescent="0.3">
      <c r="A296">
        <v>2039</v>
      </c>
      <c r="B296">
        <v>2</v>
      </c>
      <c r="C296">
        <v>28</v>
      </c>
      <c r="D296">
        <v>2039.162</v>
      </c>
      <c r="E296">
        <v>68.084551515372098</v>
      </c>
      <c r="F296">
        <v>16.367549664831799</v>
      </c>
      <c r="G296">
        <v>0</v>
      </c>
      <c r="H296">
        <v>0</v>
      </c>
      <c r="I296" s="72">
        <f t="shared" si="7"/>
        <v>84.452101180203897</v>
      </c>
    </row>
    <row r="297" spans="1:9" x14ac:dyDescent="0.3">
      <c r="A297">
        <v>2039</v>
      </c>
      <c r="B297">
        <v>3</v>
      </c>
      <c r="C297">
        <v>31</v>
      </c>
      <c r="D297">
        <v>2039.2470000000001</v>
      </c>
      <c r="E297">
        <v>68.155930169144796</v>
      </c>
      <c r="F297">
        <v>16.354587489503299</v>
      </c>
      <c r="G297">
        <v>0</v>
      </c>
      <c r="H297">
        <v>0</v>
      </c>
      <c r="I297" s="72">
        <f t="shared" si="7"/>
        <v>84.510517658648098</v>
      </c>
    </row>
    <row r="298" spans="1:9" x14ac:dyDescent="0.3">
      <c r="A298">
        <v>2039</v>
      </c>
      <c r="B298">
        <v>4</v>
      </c>
      <c r="C298">
        <v>30</v>
      </c>
      <c r="D298">
        <v>2039.329</v>
      </c>
      <c r="E298">
        <v>68.224779617503899</v>
      </c>
      <c r="F298">
        <v>16.360688857283101</v>
      </c>
      <c r="G298">
        <v>0</v>
      </c>
      <c r="H298">
        <v>0</v>
      </c>
      <c r="I298" s="72">
        <f t="shared" si="7"/>
        <v>84.585468474787007</v>
      </c>
    </row>
    <row r="299" spans="1:9" x14ac:dyDescent="0.3">
      <c r="A299">
        <v>2039</v>
      </c>
      <c r="B299">
        <v>5</v>
      </c>
      <c r="C299">
        <v>31</v>
      </c>
      <c r="D299">
        <v>2039.414</v>
      </c>
      <c r="E299">
        <v>68.295690941016005</v>
      </c>
      <c r="F299">
        <v>16.378006779381401</v>
      </c>
      <c r="G299">
        <v>0</v>
      </c>
      <c r="H299">
        <v>0</v>
      </c>
      <c r="I299" s="72">
        <f t="shared" si="7"/>
        <v>84.673697720397399</v>
      </c>
    </row>
    <row r="300" spans="1:9" x14ac:dyDescent="0.3">
      <c r="A300">
        <v>2039</v>
      </c>
      <c r="B300">
        <v>6</v>
      </c>
      <c r="C300">
        <v>30</v>
      </c>
      <c r="D300">
        <v>2039.4960000000001</v>
      </c>
      <c r="E300">
        <v>68.364090278712297</v>
      </c>
      <c r="F300">
        <v>16.448172733288999</v>
      </c>
      <c r="G300">
        <v>0</v>
      </c>
      <c r="H300">
        <v>0</v>
      </c>
      <c r="I300" s="106">
        <f t="shared" si="7"/>
        <v>84.812263012001296</v>
      </c>
    </row>
    <row r="301" spans="1:9" x14ac:dyDescent="0.3">
      <c r="A301">
        <v>2039</v>
      </c>
      <c r="B301">
        <v>7</v>
      </c>
      <c r="C301">
        <v>31</v>
      </c>
      <c r="D301">
        <v>2039.5809999999999</v>
      </c>
      <c r="E301">
        <v>68.434538690419203</v>
      </c>
      <c r="F301">
        <v>16.538239855361201</v>
      </c>
      <c r="G301">
        <v>0</v>
      </c>
      <c r="H301">
        <v>0</v>
      </c>
      <c r="I301" s="72">
        <f t="shared" si="7"/>
        <v>84.9727785457804</v>
      </c>
    </row>
    <row r="302" spans="1:9" x14ac:dyDescent="0.3">
      <c r="A302">
        <v>2039</v>
      </c>
      <c r="B302">
        <v>8</v>
      </c>
      <c r="C302">
        <v>31</v>
      </c>
      <c r="D302">
        <v>2039.6659999999999</v>
      </c>
      <c r="E302">
        <v>68.504753528205995</v>
      </c>
      <c r="F302">
        <v>16.647817413080901</v>
      </c>
      <c r="G302">
        <v>0</v>
      </c>
      <c r="H302">
        <v>0</v>
      </c>
      <c r="I302" s="72">
        <f t="shared" si="7"/>
        <v>85.152570941286896</v>
      </c>
    </row>
    <row r="303" spans="1:9" x14ac:dyDescent="0.3">
      <c r="A303">
        <v>2039</v>
      </c>
      <c r="B303">
        <v>9</v>
      </c>
      <c r="C303">
        <v>30</v>
      </c>
      <c r="D303">
        <v>2039.748</v>
      </c>
      <c r="E303">
        <v>68.572482033304595</v>
      </c>
      <c r="F303">
        <v>16.72190765281</v>
      </c>
      <c r="G303">
        <v>0</v>
      </c>
      <c r="H303">
        <v>0</v>
      </c>
      <c r="I303" s="72">
        <f t="shared" si="7"/>
        <v>85.294389686114599</v>
      </c>
    </row>
    <row r="304" spans="1:9" x14ac:dyDescent="0.3">
      <c r="A304">
        <v>2039</v>
      </c>
      <c r="B304">
        <v>10</v>
      </c>
      <c r="C304">
        <v>31</v>
      </c>
      <c r="D304">
        <v>2039.8330000000001</v>
      </c>
      <c r="E304">
        <v>68.6422405235611</v>
      </c>
      <c r="F304">
        <v>16.707513697742801</v>
      </c>
      <c r="G304">
        <v>0</v>
      </c>
      <c r="H304">
        <v>0</v>
      </c>
      <c r="I304" s="72">
        <f t="shared" si="7"/>
        <v>85.349754221303897</v>
      </c>
    </row>
    <row r="305" spans="1:9" x14ac:dyDescent="0.3">
      <c r="A305">
        <v>2039</v>
      </c>
      <c r="B305">
        <v>11</v>
      </c>
      <c r="C305">
        <v>30</v>
      </c>
      <c r="D305">
        <v>2039.915</v>
      </c>
      <c r="E305">
        <v>68.709513733233393</v>
      </c>
      <c r="F305">
        <v>16.675225312334199</v>
      </c>
      <c r="G305">
        <v>0</v>
      </c>
      <c r="H305">
        <v>0</v>
      </c>
      <c r="I305" s="72">
        <f t="shared" si="7"/>
        <v>85.384739045567585</v>
      </c>
    </row>
    <row r="306" spans="1:9" x14ac:dyDescent="0.3">
      <c r="A306">
        <v>2039</v>
      </c>
      <c r="B306">
        <v>12</v>
      </c>
      <c r="C306">
        <v>31</v>
      </c>
      <c r="D306">
        <v>2040</v>
      </c>
      <c r="E306">
        <v>68.778802781023302</v>
      </c>
      <c r="F306">
        <v>16.6367021188534</v>
      </c>
      <c r="G306">
        <v>0</v>
      </c>
      <c r="H306">
        <v>0</v>
      </c>
      <c r="I306" s="72">
        <f t="shared" si="7"/>
        <v>85.415504899876709</v>
      </c>
    </row>
    <row r="307" spans="1:9" x14ac:dyDescent="0.3">
      <c r="A307">
        <v>2040</v>
      </c>
      <c r="B307">
        <v>1</v>
      </c>
      <c r="C307">
        <v>31</v>
      </c>
      <c r="D307">
        <v>2040.085</v>
      </c>
      <c r="E307">
        <v>68.847863777245493</v>
      </c>
      <c r="F307">
        <v>16.599593893930201</v>
      </c>
      <c r="G307">
        <v>0</v>
      </c>
      <c r="H307">
        <v>0</v>
      </c>
      <c r="I307" s="72">
        <f t="shared" si="7"/>
        <v>85.447457671175698</v>
      </c>
    </row>
    <row r="308" spans="1:9" x14ac:dyDescent="0.3">
      <c r="A308">
        <v>2040</v>
      </c>
      <c r="B308">
        <v>2</v>
      </c>
      <c r="C308">
        <v>29</v>
      </c>
      <c r="D308">
        <v>2040.164</v>
      </c>
      <c r="E308">
        <v>68.912263731830294</v>
      </c>
      <c r="F308">
        <v>16.570704351666102</v>
      </c>
      <c r="G308">
        <v>0</v>
      </c>
      <c r="H308">
        <v>0</v>
      </c>
      <c r="I308" s="72">
        <f t="shared" si="7"/>
        <v>85.482968083496388</v>
      </c>
    </row>
    <row r="309" spans="1:9" x14ac:dyDescent="0.3">
      <c r="A309">
        <v>2040</v>
      </c>
      <c r="B309">
        <v>3</v>
      </c>
      <c r="C309">
        <v>31</v>
      </c>
      <c r="D309">
        <v>2040.249</v>
      </c>
      <c r="E309">
        <v>68.980886420613402</v>
      </c>
      <c r="F309">
        <v>16.557093032347101</v>
      </c>
      <c r="G309">
        <v>0</v>
      </c>
      <c r="H309">
        <v>0</v>
      </c>
      <c r="I309" s="72">
        <f t="shared" si="7"/>
        <v>85.537979452960499</v>
      </c>
    </row>
    <row r="310" spans="1:9" x14ac:dyDescent="0.3">
      <c r="A310">
        <v>2040</v>
      </c>
      <c r="B310">
        <v>4</v>
      </c>
      <c r="C310">
        <v>30</v>
      </c>
      <c r="D310">
        <v>2040.3309999999999</v>
      </c>
      <c r="E310">
        <v>69.047081348811105</v>
      </c>
      <c r="F310">
        <v>16.5619662570485</v>
      </c>
      <c r="G310">
        <v>0</v>
      </c>
      <c r="H310">
        <v>0</v>
      </c>
      <c r="I310" s="72">
        <f t="shared" si="7"/>
        <v>85.609047605859601</v>
      </c>
    </row>
    <row r="311" spans="1:9" x14ac:dyDescent="0.3">
      <c r="I311" s="72">
        <f t="shared" si="7"/>
        <v>0</v>
      </c>
    </row>
  </sheetData>
  <pageMargins left="0.70866141732283472" right="0.70866141732283472" top="0.74803149606299213" bottom="0.74803149606299213" header="0.31496062992125984" footer="0.31496062992125984"/>
  <pageSetup paperSize="9" scale="87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033af7-4c98-44f3-88f9-8e263aa4342a">
      <Terms xmlns="http://schemas.microsoft.com/office/infopath/2007/PartnerControls"/>
    </lcf76f155ced4ddcb4097134ff3c332f>
    <TaxCatchAll xmlns="7b595572-ed96-4f68-bcb3-6d348b810855" xsi:nil="true"/>
    <Document_x0020_Type xmlns="05033af7-4c98-44f3-88f9-8e263aa4342a" xsi:nil="true"/>
    <Business_x0020_Area xmlns="05033af7-4c98-44f3-88f9-8e263aa4342a" xsi:nil="true"/>
    <Project_x0020_Type xmlns="05033af7-4c98-44f3-88f9-8e263aa4342a" xsi:nil="true"/>
    <_Flow_SignoffStatus xmlns="05033af7-4c98-44f3-88f9-8e263aa4342a" xsi:nil="true"/>
    <Process xmlns="05033af7-4c98-44f3-88f9-8e263aa434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87A1DB8E9B5340A1B0B5BEAE95B2CB" ma:contentTypeVersion="21" ma:contentTypeDescription="Create a new document." ma:contentTypeScope="" ma:versionID="3fb77f79c6681a65604f3b2d4d453377">
  <xsd:schema xmlns:xsd="http://www.w3.org/2001/XMLSchema" xmlns:xs="http://www.w3.org/2001/XMLSchema" xmlns:p="http://schemas.microsoft.com/office/2006/metadata/properties" xmlns:ns2="05033af7-4c98-44f3-88f9-8e263aa4342a" xmlns:ns3="7b595572-ed96-4f68-bcb3-6d348b810855" targetNamespace="http://schemas.microsoft.com/office/2006/metadata/properties" ma:root="true" ma:fieldsID="c2c5c34fc670555dc9f53a8b9f6c6269" ns2:_="" ns3:_="">
    <xsd:import namespace="05033af7-4c98-44f3-88f9-8e263aa4342a"/>
    <xsd:import namespace="7b595572-ed96-4f68-bcb3-6d348b810855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2:Process" minOccurs="0"/>
                <xsd:element ref="ns2:Business_x0020_Area" minOccurs="0"/>
                <xsd:element ref="ns2:Project_x0020_Typ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33af7-4c98-44f3-88f9-8e263aa4342a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8" nillable="true" ma:displayName="Document Type" ma:format="Dropdown" ma:internalName="Document_x0020_Type">
      <xsd:simpleType>
        <xsd:restriction base="dms:Choice">
          <xsd:enumeration value="Agreement"/>
          <xsd:enumeration value="CER"/>
          <xsd:enumeration value="Checklist"/>
          <xsd:enumeration value="Client info"/>
          <xsd:enumeration value="Data"/>
          <xsd:enumeration value="ERF Application"/>
          <xsd:enumeration value="ERF Audit Schedule"/>
          <xsd:enumeration value="ERF Report"/>
          <xsd:enumeration value="Financial / Budget"/>
          <xsd:enumeration value="Form"/>
          <xsd:enumeration value="Invoice"/>
          <xsd:enumeration value="Other"/>
          <xsd:enumeration value="Policy"/>
          <xsd:enumeration value="Presentation"/>
          <xsd:enumeration value="Proposal"/>
          <xsd:enumeration value="Quote"/>
          <xsd:enumeration value="Reference"/>
          <xsd:enumeration value="Report"/>
          <xsd:enumeration value="SOP"/>
          <xsd:enumeration value="Staff File"/>
          <xsd:enumeration value="Tool"/>
          <xsd:enumeration value="Working File"/>
        </xsd:restriction>
      </xsd:simpleType>
    </xsd:element>
    <xsd:element name="Process" ma:index="9" nillable="true" ma:displayName="Process" ma:format="Dropdown" ma:internalName="Process">
      <xsd:simpleType>
        <xsd:restriction base="dms:Choice">
          <xsd:enumeration value="Assessment"/>
          <xsd:enumeration value="Business Development"/>
          <xsd:enumeration value="Delivery"/>
          <xsd:enumeration value="Sales"/>
        </xsd:restriction>
      </xsd:simpleType>
    </xsd:element>
    <xsd:element name="Business_x0020_Area" ma:index="10" nillable="true" ma:displayName="Business Area" ma:format="Dropdown" ma:internalName="Business_x0020_Area">
      <xsd:simpleType>
        <xsd:restriction base="dms:Choice">
          <xsd:enumeration value="Agribusiness"/>
          <xsd:enumeration value="AspiraDAC"/>
          <xsd:enumeration value="Business Operations"/>
          <xsd:enumeration value="Decarbonisation"/>
          <xsd:enumeration value="Finance &amp; Strategy"/>
          <xsd:enumeration value="Maki"/>
        </xsd:restriction>
      </xsd:simpleType>
    </xsd:element>
    <xsd:element name="Project_x0020_Type" ma:index="11" nillable="true" ma:displayName="Project Type" ma:format="Dropdown" ma:internalName="Project_x0020_Type">
      <xsd:simpleType>
        <xsd:restriction base="dms:Choice">
          <xsd:enumeration value="Afforestation / Reforestation"/>
          <xsd:enumeration value="Agroforestry"/>
          <xsd:enumeration value="Avoided Deforestation"/>
          <xsd:enumeration value="Beef Herd"/>
          <xsd:enumeration value="Blue Carbon"/>
          <xsd:enumeration value="Carbon Capture &amp; Storage"/>
          <xsd:enumeration value="Energy &amp; Biogas"/>
          <xsd:enumeration value="Energy Efficiency"/>
          <xsd:enumeration value="Improved Forest Management"/>
          <xsd:enumeration value="Landfill Gas"/>
          <xsd:enumeration value="Methane Reduction in Rice Cultivation"/>
          <xsd:enumeration value="Natural Capital"/>
          <xsd:enumeration value="Peatland"/>
          <xsd:enumeration value="Producer Investment Evaluation"/>
          <xsd:enumeration value="REDD"/>
          <xsd:enumeration value="Savanna Fire Management"/>
          <xsd:enumeration value="Soil Carbon"/>
          <xsd:enumeration value="Transport"/>
          <xsd:enumeration value="Vegetation"/>
          <xsd:enumeration value="Waste"/>
          <xsd:enumeration value="Wetland Carbon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ac2beac-4731-49a6-8bfe-aa826acef3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7" nillable="true" ma:displayName="Sign-off status" ma:internalName="Sign_x002d_off_x0020_status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95572-ed96-4f68-bcb3-6d348b81085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643ff79-f07b-45f2-971e-31dee8387b9c}" ma:internalName="TaxCatchAll" ma:showField="CatchAllData" ma:web="7b595572-ed96-4f68-bcb3-6d348b8108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D78C0-7D5A-40D4-9BF4-AF94ECED16C0}">
  <ds:schemaRefs>
    <ds:schemaRef ds:uri="http://schemas.microsoft.com/office/2006/metadata/properties"/>
    <ds:schemaRef ds:uri="http://schemas.microsoft.com/office/infopath/2007/PartnerControls"/>
    <ds:schemaRef ds:uri="05033af7-4c98-44f3-88f9-8e263aa4342a"/>
    <ds:schemaRef ds:uri="7b595572-ed96-4f68-bcb3-6d348b810855"/>
  </ds:schemaRefs>
</ds:datastoreItem>
</file>

<file path=customXml/itemProps2.xml><?xml version="1.0" encoding="utf-8"?>
<ds:datastoreItem xmlns:ds="http://schemas.openxmlformats.org/officeDocument/2006/customXml" ds:itemID="{50A2F067-5613-4FFA-8446-8CED63AD1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033af7-4c98-44f3-88f9-8e263aa4342a"/>
    <ds:schemaRef ds:uri="7b595572-ed96-4f68-bcb3-6d348b8108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2F6D67-D14B-46D7-BD32-319AAE29D6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8</vt:i4>
      </vt:variant>
    </vt:vector>
  </HeadingPairs>
  <TitlesOfParts>
    <vt:vector size="28" baseType="lpstr">
      <vt:lpstr>Cover</vt:lpstr>
      <vt:lpstr>Net Abatement</vt:lpstr>
      <vt:lpstr>CEA Attributes</vt:lpstr>
      <vt:lpstr>Abatement - Report 8</vt:lpstr>
      <vt:lpstr>Abatement - Report 7</vt:lpstr>
      <vt:lpstr>Abatement - Report 6</vt:lpstr>
      <vt:lpstr>Abatement - Report 5</vt:lpstr>
      <vt:lpstr>Abatement - Report 4</vt:lpstr>
      <vt:lpstr>Abatement - Report 3</vt:lpstr>
      <vt:lpstr>Abatement - Report 2</vt:lpstr>
      <vt:lpstr>Abatement - Report 1</vt:lpstr>
      <vt:lpstr>Project Emissions</vt:lpstr>
      <vt:lpstr>Global Warm Pot</vt:lpstr>
      <vt:lpstr>Fuel Emissions</vt:lpstr>
      <vt:lpstr>JIN_CEA_01</vt:lpstr>
      <vt:lpstr>HID_CEA_01</vt:lpstr>
      <vt:lpstr>LIS_CEA_01</vt:lpstr>
      <vt:lpstr>STE_CEA_01</vt:lpstr>
      <vt:lpstr>STE_CEA_02</vt:lpstr>
      <vt:lpstr>STE_CEA_03</vt:lpstr>
      <vt:lpstr>HID_CEA_01!_04._HID_CEA_01_GENERIC_NO_INIT_CAL___Output_1_1</vt:lpstr>
      <vt:lpstr>JIN_CEA_01!_04._JIN_CEA_01_GENERIC_NO_INIT_CAL___Output_1_1</vt:lpstr>
      <vt:lpstr>JIN_CEA_01!_04._JIN_CEA_01_GENERIC_NO_INIT_CAL_2016_MAN___Output_1</vt:lpstr>
      <vt:lpstr>LIS_CEA_01!_04._LIS_CEA_01_GENERIC_NO_INIT_CAL___Output_1</vt:lpstr>
      <vt:lpstr>LIS_CEA_01!_04._LIS_CEA_01_GENERIC_NO_INIT_CAL___Output_1_1</vt:lpstr>
      <vt:lpstr>STE_CEA_01!_04._STE_CEA_01_GENERIC_NO_INIT_CAL___Output_1</vt:lpstr>
      <vt:lpstr>STE_CEA_02!_04._STE_CEA_02_GENERIC_NO_INIT_CAL___Output_1</vt:lpstr>
      <vt:lpstr>STE_CEA_03!_04._STE_CEA_03_GENERIC_NO_INIT_CAL___Output_1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2026-01-20T21:59:57Z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0x0101007387A1DB8E9B5340A1B0B5BEAE95B2CB</vt:lpwstr>
  </property>
  <property fmtid="{D5CDD505-2E9C-101B-9397-08002B2CF9AE}" pid="3" name="MediaServiceImageTags">
    <vt:lpwstr/>
  </property>
</Properties>
</file>